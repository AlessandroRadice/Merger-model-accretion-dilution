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Transaction" sheetId="2" state="visible" r:id="rId4"/>
    <sheet name="Pro Forma" sheetId="3" state="visible" r:id="rId5"/>
    <sheet name="Sensitivity" sheetId="4" state="visible" r:id="rId6"/>
    <sheet name="Ownership &amp; Cred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<sst xmlns="http://schemas.openxmlformats.org/spreadsheetml/2006/main" count="118" uniqueCount="106">
  <si>
    <t xml:space="preserve">Project Cocoa: inputs ($mm, except per share)</t>
  </si>
  <si>
    <t xml:space="preserve">Source: SYNTHETIC DEMO DATA</t>
  </si>
  <si>
    <t xml:space="preserve">Company data</t>
  </si>
  <si>
    <t xml:space="preserve">Acquirer</t>
  </si>
  <si>
    <t xml:space="preserve">Target</t>
  </si>
  <si>
    <t xml:space="preserve">Ticker</t>
  </si>
  <si>
    <t xml:space="preserve">ACQ.DEMO</t>
  </si>
  <si>
    <t xml:space="preserve">TGT.DEMO</t>
  </si>
  <si>
    <t xml:space="preserve">Share price</t>
  </si>
  <si>
    <t xml:space="preserve">Diluted shares (mm)</t>
  </si>
  <si>
    <t xml:space="preserve">NTM EPS (consensus)</t>
  </si>
  <si>
    <t xml:space="preserve">Total debt</t>
  </si>
  <si>
    <t xml:space="preserve">Cash</t>
  </si>
  <si>
    <t xml:space="preserve">LTM EBITDA</t>
  </si>
  <si>
    <t xml:space="preserve">LTM revenue</t>
  </si>
  <si>
    <t xml:space="preserve">Book equity</t>
  </si>
  <si>
    <t xml:space="preserve">Market capitalisation</t>
  </si>
  <si>
    <t xml:space="preserve">Net debt</t>
  </si>
  <si>
    <t xml:space="preserve">P/E (NTM)</t>
  </si>
  <si>
    <t xml:space="preserve">NTM net income</t>
  </si>
  <si>
    <t xml:space="preserve">Deal assumptions</t>
  </si>
  <si>
    <t xml:space="preserve">Offer premium</t>
  </si>
  <si>
    <t xml:space="preserve">% of price paid in stock</t>
  </si>
  <si>
    <t xml:space="preserve">Pre-tax cost of new debt</t>
  </si>
  <si>
    <t xml:space="preserve">Pre-tax interest on cash</t>
  </si>
  <si>
    <t xml:space="preserve">Minimum cash retained by acquirer</t>
  </si>
  <si>
    <t xml:space="preserve">Advisory fees (% of target EV)</t>
  </si>
  <si>
    <t xml:space="preserve">Financing fees (% of new debt)</t>
  </si>
  <si>
    <t xml:space="preserve">Financing fee amortisation (years)</t>
  </si>
  <si>
    <t xml:space="preserve">Intangible write-up (% of excess price)</t>
  </si>
  <si>
    <t xml:space="preserve">Intangible life (years)</t>
  </si>
  <si>
    <t xml:space="preserve">Run-rate pre-tax synergies</t>
  </si>
  <si>
    <t xml:space="preserve">Tax rate</t>
  </si>
  <si>
    <t xml:space="preserve">Acquirer EPS growth (years 2-3)</t>
  </si>
  <si>
    <t xml:space="preserve">Target EPS growth (years 2-3)</t>
  </si>
  <si>
    <t xml:space="preserve">Synergy phase-in (years 1-3)</t>
  </si>
  <si>
    <t xml:space="preserve">Offer, sources &amp; uses and purchase price allocation ($mm)</t>
  </si>
  <si>
    <t xml:space="preserve">Offer and funding</t>
  </si>
  <si>
    <t xml:space="preserve">Sources</t>
  </si>
  <si>
    <t xml:space="preserve">$mm</t>
  </si>
  <si>
    <t xml:space="preserve">Offer price per share</t>
  </si>
  <si>
    <t xml:space="preserve">New acquirer shares</t>
  </si>
  <si>
    <t xml:space="preserve">Equity purchase price</t>
  </si>
  <si>
    <t xml:space="preserve">New debt</t>
  </si>
  <si>
    <t xml:space="preserve">(+) Target net debt assumed</t>
  </si>
  <si>
    <t xml:space="preserve">Balance-sheet cash</t>
  </si>
  <si>
    <t xml:space="preserve">Transaction enterprise value</t>
  </si>
  <si>
    <t xml:space="preserve">Total sources</t>
  </si>
  <si>
    <t xml:space="preserve">Offer EV / LTM EBITDA</t>
  </si>
  <si>
    <t xml:space="preserve">Offer P/E (NTM)</t>
  </si>
  <si>
    <t xml:space="preserve">Uses</t>
  </si>
  <si>
    <t xml:space="preserve">Cash consideration</t>
  </si>
  <si>
    <t xml:space="preserve">Purchase of target equity</t>
  </si>
  <si>
    <t xml:space="preserve">Stock consideration</t>
  </si>
  <si>
    <t xml:space="preserve">Advisory fees</t>
  </si>
  <si>
    <t xml:space="preserve">Financing fees</t>
  </si>
  <si>
    <t xml:space="preserve">Balance-sheet cash used</t>
  </si>
  <si>
    <t xml:space="preserve">Total uses</t>
  </si>
  <si>
    <t xml:space="preserve">New debt raised (incl. financing fees)</t>
  </si>
  <si>
    <t xml:space="preserve">Check (sources − uses)</t>
  </si>
  <si>
    <t xml:space="preserve">New acquirer shares issued (mm)</t>
  </si>
  <si>
    <t xml:space="preserve">Exchange ratio (stock component)</t>
  </si>
  <si>
    <t xml:space="preserve">Purchase price allocation</t>
  </si>
  <si>
    <t xml:space="preserve">(−) Target book equity</t>
  </si>
  <si>
    <t xml:space="preserve">Excess purchase price</t>
  </si>
  <si>
    <t xml:space="preserve">Intangible write-up</t>
  </si>
  <si>
    <t xml:space="preserve">Deferred tax liability on write-up</t>
  </si>
  <si>
    <t xml:space="preserve">Goodwill</t>
  </si>
  <si>
    <t xml:space="preserve">Annual intangible amortisation</t>
  </si>
  <si>
    <t xml:space="preserve">Pro forma EPS: accretion / (dilution) ($mm, except per share)</t>
  </si>
  <si>
    <t xml:space="preserve">Year 1</t>
  </si>
  <si>
    <t xml:space="preserve">Year 2</t>
  </si>
  <si>
    <t xml:space="preserve">Year 3</t>
  </si>
  <si>
    <t xml:space="preserve">Acquirer standalone EPS</t>
  </si>
  <si>
    <t xml:space="preserve">Acquirer net income</t>
  </si>
  <si>
    <t xml:space="preserve">Target net income</t>
  </si>
  <si>
    <t xml:space="preserve">Synergies (pre-tax)</t>
  </si>
  <si>
    <t xml:space="preserve">Interest on new debt</t>
  </si>
  <si>
    <t xml:space="preserve">Interest forgone on cash</t>
  </si>
  <si>
    <t xml:space="preserve">Intangible amortisation</t>
  </si>
  <si>
    <t xml:space="preserve">Financing fee amortisation</t>
  </si>
  <si>
    <t xml:space="preserve">Tax on adjustments</t>
  </si>
  <si>
    <t xml:space="preserve">Pro forma net income</t>
  </si>
  <si>
    <t xml:space="preserve">Acquirer shares</t>
  </si>
  <si>
    <t xml:space="preserve">New shares issued</t>
  </si>
  <si>
    <t xml:space="preserve">Pro forma shares</t>
  </si>
  <si>
    <t xml:space="preserve">Pro forma EPS</t>
  </si>
  <si>
    <t xml:space="preserve">Accretion / (dilution)</t>
  </si>
  <si>
    <t xml:space="preserve">Cash EPS (ex. amortisation)</t>
  </si>
  <si>
    <t xml:space="preserve">Cash EPS accretion / (dilution)</t>
  </si>
  <si>
    <t xml:space="preserve">Breakeven pre-tax synergies</t>
  </si>
  <si>
    <t xml:space="preserve">Year 2 EPS accretion / (dilution): every cell is a full merger-model formula</t>
  </si>
  <si>
    <t xml:space="preserve">Offer premium (rows) × % stock (columns)</t>
  </si>
  <si>
    <t xml:space="preserve">↓ rows / % stock →</t>
  </si>
  <si>
    <t xml:space="preserve">Run-rate synergies, $mm (rows) × % stock (columns)</t>
  </si>
  <si>
    <t xml:space="preserve">Contribution vs ownership, and pro forma credit ($mm)</t>
  </si>
  <si>
    <t xml:space="preserve">Contribution</t>
  </si>
  <si>
    <t xml:space="preserve">Target %</t>
  </si>
  <si>
    <t xml:space="preserve">Pro forma shares (mm)</t>
  </si>
  <si>
    <t xml:space="preserve">Pro forma credit</t>
  </si>
  <si>
    <t xml:space="preserve">Acquirer net debt</t>
  </si>
  <si>
    <t xml:space="preserve">Target net debt</t>
  </si>
  <si>
    <t xml:space="preserve">Pro forma net debt</t>
  </si>
  <si>
    <t xml:space="preserve">Combined LTM EBITDA</t>
  </si>
  <si>
    <t xml:space="preserve">Pro forma net debt / EBITDA</t>
  </si>
  <si>
    <t xml:space="preserve">… including run-rate synergies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</si>
</sst>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;\(#,##0.0\)"/>
    <numFmt numFmtId="167" formatCode="0.0\x"/>
    <numFmt numFmtId="168" formatCode="0.0%"/>
    <numFmt numFmtId="169" formatCode="0.0000"/>
    <numFmt numFmtId="170" formatCode="\$#,##0.000"/>
    <numFmt numFmtId="171" formatCode="\+0.0%;\-0.0%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8"/>
      <name val="Arial"/>
      <family val="2"/>
      <charset val="1"/>
    </font>
    <font>
      <i val="true"/>
      <sz val="10"/>
      <color rgb="FF66655E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8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  <fill>
      <patternFill patternType="solid">
        <fgColor rgb="FFFFF2CC"/>
        <bgColor rgb="FFECEBE5"/>
      </patternFill>
    </fill>
    <fill>
      <patternFill patternType="solid">
        <fgColor rgb="FFECEBE5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B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55E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0.71"/>
    <col collapsed="false" customWidth="true" hidden="false" outlineLevel="0" max="5" min="3" style="0" width="14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0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B7" s="0" t="s">
        <v>8</v>
      </c>
      <c r="C7" s="5" t="n">
        <v>85</v>
      </c>
      <c r="D7" s="5" t="n">
        <v>42</v>
      </c>
    </row>
    <row r="8" customFormat="false" ht="15" hidden="false" customHeight="false" outlineLevel="0" collapsed="false">
      <c r="B8" s="0" t="s">
        <v>9</v>
      </c>
      <c r="C8" s="6" t="n">
        <v>1200</v>
      </c>
      <c r="D8" s="6" t="n">
        <v>400</v>
      </c>
    </row>
    <row r="9" customFormat="false" ht="15" hidden="false" customHeight="false" outlineLevel="0" collapsed="false">
      <c r="B9" s="0" t="s">
        <v>10</v>
      </c>
      <c r="C9" s="5" t="n">
        <v>4.5</v>
      </c>
      <c r="D9" s="5" t="n">
        <v>2.4</v>
      </c>
    </row>
    <row r="10" customFormat="false" ht="15" hidden="false" customHeight="false" outlineLevel="0" collapsed="false">
      <c r="B10" s="0" t="s">
        <v>11</v>
      </c>
      <c r="C10" s="6" t="n">
        <v>22000</v>
      </c>
      <c r="D10" s="6" t="n">
        <v>5000</v>
      </c>
    </row>
    <row r="11" customFormat="false" ht="15" hidden="false" customHeight="false" outlineLevel="0" collapsed="false">
      <c r="B11" s="0" t="s">
        <v>12</v>
      </c>
      <c r="C11" s="6" t="n">
        <v>4000</v>
      </c>
      <c r="D11" s="6" t="n">
        <v>800</v>
      </c>
    </row>
    <row r="12" customFormat="false" ht="15" hidden="false" customHeight="false" outlineLevel="0" collapsed="false">
      <c r="B12" s="0" t="s">
        <v>13</v>
      </c>
      <c r="C12" s="6" t="n">
        <v>9800</v>
      </c>
      <c r="D12" s="6" t="n">
        <v>2050</v>
      </c>
    </row>
    <row r="13" customFormat="false" ht="15" hidden="false" customHeight="false" outlineLevel="0" collapsed="false">
      <c r="B13" s="0" t="s">
        <v>14</v>
      </c>
      <c r="C13" s="6" t="n">
        <v>52000</v>
      </c>
      <c r="D13" s="6" t="n">
        <v>12000</v>
      </c>
    </row>
    <row r="14" customFormat="false" ht="15" hidden="false" customHeight="false" outlineLevel="0" collapsed="false">
      <c r="B14" s="0" t="s">
        <v>15</v>
      </c>
      <c r="C14" s="6" t="n">
        <v>28000</v>
      </c>
      <c r="D14" s="6" t="n">
        <v>6500</v>
      </c>
    </row>
    <row r="15" customFormat="false" ht="15" hidden="false" customHeight="false" outlineLevel="0" collapsed="false">
      <c r="B15" s="0" t="s">
        <v>16</v>
      </c>
      <c r="C15" s="7" t="n">
        <f aca="false">Inputs!$C$7*Inputs!$C$8</f>
        <v>102000</v>
      </c>
      <c r="D15" s="7" t="n">
        <f aca="false">Inputs!$D$7*Inputs!$D$8</f>
        <v>16800</v>
      </c>
    </row>
    <row r="16" customFormat="false" ht="15" hidden="false" customHeight="false" outlineLevel="0" collapsed="false">
      <c r="B16" s="0" t="s">
        <v>17</v>
      </c>
      <c r="C16" s="7" t="n">
        <f aca="false">Inputs!$C$10-Inputs!$C$11</f>
        <v>18000</v>
      </c>
      <c r="D16" s="7" t="n">
        <f aca="false">Inputs!$D$10-Inputs!$D$11</f>
        <v>4200</v>
      </c>
    </row>
    <row r="17" customFormat="false" ht="15" hidden="false" customHeight="false" outlineLevel="0" collapsed="false">
      <c r="B17" s="0" t="s">
        <v>18</v>
      </c>
      <c r="C17" s="8" t="n">
        <f aca="false">Inputs!$C$7/Inputs!$C$9</f>
        <v>18.8888888888889</v>
      </c>
      <c r="D17" s="8" t="n">
        <f aca="false">Inputs!$D$7/Inputs!$D$9</f>
        <v>17.5</v>
      </c>
    </row>
    <row r="18" customFormat="false" ht="15" hidden="false" customHeight="false" outlineLevel="0" collapsed="false">
      <c r="B18" s="0" t="s">
        <v>19</v>
      </c>
      <c r="C18" s="7" t="n">
        <f aca="false">Inputs!$C$9*Inputs!$C$8</f>
        <v>5400</v>
      </c>
      <c r="D18" s="7" t="n">
        <f aca="false">Inputs!$D$9*Inputs!$D$8</f>
        <v>960</v>
      </c>
    </row>
    <row r="20" customFormat="false" ht="15" hidden="false" customHeight="false" outlineLevel="0" collapsed="false">
      <c r="B20" s="9" t="s">
        <v>20</v>
      </c>
    </row>
    <row r="21" customFormat="false" ht="15" hidden="false" customHeight="false" outlineLevel="0" collapsed="false">
      <c r="B21" s="0" t="s">
        <v>21</v>
      </c>
      <c r="C21" s="10" t="n">
        <v>0.3</v>
      </c>
    </row>
    <row r="22" customFormat="false" ht="15" hidden="false" customHeight="false" outlineLevel="0" collapsed="false">
      <c r="B22" s="0" t="s">
        <v>22</v>
      </c>
      <c r="C22" s="10" t="n">
        <v>0.5</v>
      </c>
    </row>
    <row r="23" customFormat="false" ht="15" hidden="false" customHeight="false" outlineLevel="0" collapsed="false">
      <c r="B23" s="0" t="s">
        <v>23</v>
      </c>
      <c r="C23" s="10" t="n">
        <v>0.06</v>
      </c>
    </row>
    <row r="24" customFormat="false" ht="15" hidden="false" customHeight="false" outlineLevel="0" collapsed="false">
      <c r="B24" s="0" t="s">
        <v>24</v>
      </c>
      <c r="C24" s="10" t="n">
        <v>0.04</v>
      </c>
    </row>
    <row r="25" customFormat="false" ht="15" hidden="false" customHeight="false" outlineLevel="0" collapsed="false">
      <c r="B25" s="0" t="s">
        <v>25</v>
      </c>
      <c r="C25" s="6" t="n">
        <v>2000</v>
      </c>
    </row>
    <row r="26" customFormat="false" ht="15" hidden="false" customHeight="false" outlineLevel="0" collapsed="false">
      <c r="B26" s="0" t="s">
        <v>26</v>
      </c>
      <c r="C26" s="10" t="n">
        <v>0.012</v>
      </c>
    </row>
    <row r="27" customFormat="false" ht="15" hidden="false" customHeight="false" outlineLevel="0" collapsed="false">
      <c r="B27" s="0" t="s">
        <v>27</v>
      </c>
      <c r="C27" s="10" t="n">
        <v>0.02</v>
      </c>
    </row>
    <row r="28" customFormat="false" ht="15" hidden="false" customHeight="false" outlineLevel="0" collapsed="false">
      <c r="B28" s="0" t="s">
        <v>28</v>
      </c>
      <c r="C28" s="6" t="n">
        <v>7</v>
      </c>
    </row>
    <row r="29" customFormat="false" ht="15" hidden="false" customHeight="false" outlineLevel="0" collapsed="false">
      <c r="B29" s="0" t="s">
        <v>29</v>
      </c>
      <c r="C29" s="10" t="n">
        <v>0.25</v>
      </c>
    </row>
    <row r="30" customFormat="false" ht="15" hidden="false" customHeight="false" outlineLevel="0" collapsed="false">
      <c r="B30" s="0" t="s">
        <v>30</v>
      </c>
      <c r="C30" s="6" t="n">
        <v>15</v>
      </c>
    </row>
    <row r="31" customFormat="false" ht="15" hidden="false" customHeight="false" outlineLevel="0" collapsed="false">
      <c r="B31" s="0" t="s">
        <v>31</v>
      </c>
      <c r="C31" s="6" t="n">
        <v>500</v>
      </c>
    </row>
    <row r="32" customFormat="false" ht="15" hidden="false" customHeight="false" outlineLevel="0" collapsed="false">
      <c r="B32" s="0" t="s">
        <v>32</v>
      </c>
      <c r="C32" s="10" t="n">
        <v>0.23</v>
      </c>
    </row>
    <row r="33" customFormat="false" ht="15" hidden="false" customHeight="false" outlineLevel="0" collapsed="false">
      <c r="B33" s="0" t="s">
        <v>33</v>
      </c>
      <c r="C33" s="10" t="n">
        <v>0.07</v>
      </c>
    </row>
    <row r="34" customFormat="false" ht="15" hidden="false" customHeight="false" outlineLevel="0" collapsed="false">
      <c r="B34" s="0" t="s">
        <v>34</v>
      </c>
      <c r="C34" s="10" t="n">
        <v>0.07</v>
      </c>
    </row>
    <row r="35" customFormat="false" ht="15" hidden="false" customHeight="false" outlineLevel="0" collapsed="false">
      <c r="B35" s="0" t="s">
        <v>35</v>
      </c>
      <c r="C35" s="10" t="n">
        <v>0.4</v>
      </c>
      <c r="D35" s="10" t="n">
        <v>0.8</v>
      </c>
      <c r="E35" s="1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0.71"/>
    <col collapsed="false" customWidth="true" hidden="false" outlineLevel="0" max="3" min="3" style="0" width="14.71"/>
    <col collapsed="false" customWidth="true" hidden="false" outlineLevel="0" max="4" min="4" style="0" width="3.71"/>
    <col collapsed="false" customWidth="true" hidden="false" outlineLevel="0" max="5" min="5" style="0" width="34.71"/>
    <col collapsed="false" customWidth="true" hidden="false" outlineLevel="0" max="6" min="6" style="0" width="14.71"/>
  </cols>
  <sheetData>
    <row r="2" customFormat="false" ht="17.35" hidden="false" customHeight="false" outlineLevel="0" collapsed="false">
      <c r="B2" s="1" t="s">
        <v>36</v>
      </c>
    </row>
    <row r="4" customFormat="false" ht="15" hidden="false" customHeight="false" outlineLevel="0" collapsed="false">
      <c r="B4" s="3" t="s">
        <v>37</v>
      </c>
      <c r="C4" s="3"/>
      <c r="E4" s="3" t="s">
        <v>38</v>
      </c>
      <c r="F4" s="3" t="s">
        <v>39</v>
      </c>
    </row>
    <row r="5" customFormat="false" ht="15" hidden="false" customHeight="false" outlineLevel="0" collapsed="false">
      <c r="B5" s="0" t="s">
        <v>40</v>
      </c>
      <c r="C5" s="11" t="n">
        <f aca="false">Inputs!$D$7*(1+Inputs!$C$21)</f>
        <v>54.6</v>
      </c>
      <c r="E5" s="12" t="s">
        <v>41</v>
      </c>
      <c r="F5" s="7" t="n">
        <f aca="false">C12</f>
        <v>10920</v>
      </c>
    </row>
    <row r="6" customFormat="false" ht="15" hidden="false" customHeight="false" outlineLevel="0" collapsed="false">
      <c r="B6" s="0" t="s">
        <v>42</v>
      </c>
      <c r="C6" s="7" t="n">
        <f aca="false">C5*Inputs!$D$8</f>
        <v>21840</v>
      </c>
      <c r="E6" s="12" t="s">
        <v>43</v>
      </c>
      <c r="F6" s="7" t="n">
        <f aca="false">C15</f>
        <v>9420.89795918367</v>
      </c>
    </row>
    <row r="7" customFormat="false" ht="15" hidden="false" customHeight="false" outlineLevel="0" collapsed="false">
      <c r="B7" s="0" t="s">
        <v>44</v>
      </c>
      <c r="C7" s="7" t="n">
        <f aca="false">Inputs!$D$16</f>
        <v>4200</v>
      </c>
      <c r="E7" s="12" t="s">
        <v>45</v>
      </c>
      <c r="F7" s="7" t="n">
        <f aca="false">C14</f>
        <v>2000</v>
      </c>
    </row>
    <row r="8" customFormat="false" ht="15" hidden="false" customHeight="false" outlineLevel="0" collapsed="false">
      <c r="B8" s="0" t="s">
        <v>46</v>
      </c>
      <c r="C8" s="7" t="n">
        <f aca="false">C6+C7</f>
        <v>26040</v>
      </c>
      <c r="E8" s="9" t="s">
        <v>47</v>
      </c>
      <c r="F8" s="13" t="n">
        <f aca="false">SUM(F5:F7)</f>
        <v>22340.8979591837</v>
      </c>
    </row>
    <row r="9" customFormat="false" ht="15" hidden="false" customHeight="false" outlineLevel="0" collapsed="false">
      <c r="B9" s="0" t="s">
        <v>48</v>
      </c>
      <c r="C9" s="8" t="n">
        <f aca="false">C8/Inputs!$D$12</f>
        <v>12.7024390243902</v>
      </c>
    </row>
    <row r="10" customFormat="false" ht="15" hidden="false" customHeight="false" outlineLevel="0" collapsed="false">
      <c r="B10" s="0" t="s">
        <v>49</v>
      </c>
      <c r="C10" s="8" t="n">
        <f aca="false">C5/Inputs!$D$9</f>
        <v>22.75</v>
      </c>
      <c r="E10" s="3" t="s">
        <v>50</v>
      </c>
      <c r="F10" s="3" t="s">
        <v>39</v>
      </c>
    </row>
    <row r="11" customFormat="false" ht="15" hidden="false" customHeight="false" outlineLevel="0" collapsed="false">
      <c r="B11" s="0" t="s">
        <v>51</v>
      </c>
      <c r="C11" s="7" t="n">
        <f aca="false">C6*(1-Inputs!$C$22)</f>
        <v>10920</v>
      </c>
      <c r="E11" s="12" t="s">
        <v>52</v>
      </c>
      <c r="F11" s="7" t="n">
        <f aca="false">C6</f>
        <v>21840</v>
      </c>
    </row>
    <row r="12" customFormat="false" ht="15" hidden="false" customHeight="false" outlineLevel="0" collapsed="false">
      <c r="B12" s="0" t="s">
        <v>53</v>
      </c>
      <c r="C12" s="7" t="n">
        <f aca="false">C6*Inputs!$C$22</f>
        <v>10920</v>
      </c>
      <c r="E12" s="12" t="s">
        <v>54</v>
      </c>
      <c r="F12" s="7" t="n">
        <f aca="false">C13</f>
        <v>312.48</v>
      </c>
    </row>
    <row r="13" customFormat="false" ht="15" hidden="false" customHeight="false" outlineLevel="0" collapsed="false">
      <c r="B13" s="0" t="s">
        <v>54</v>
      </c>
      <c r="C13" s="7" t="n">
        <f aca="false">Inputs!$C$26*C8</f>
        <v>312.48</v>
      </c>
      <c r="E13" s="12" t="s">
        <v>55</v>
      </c>
      <c r="F13" s="7" t="n">
        <f aca="false">C16</f>
        <v>188.417959183673</v>
      </c>
    </row>
    <row r="14" customFormat="false" ht="15" hidden="false" customHeight="false" outlineLevel="0" collapsed="false">
      <c r="B14" s="0" t="s">
        <v>56</v>
      </c>
      <c r="C14" s="7" t="n">
        <f aca="false">MIN(MAX(Inputs!$C$11-Inputs!$C$25,0),C11+C13)</f>
        <v>2000</v>
      </c>
      <c r="E14" s="9" t="s">
        <v>57</v>
      </c>
      <c r="F14" s="13" t="n">
        <f aca="false">SUM(F11:F13)</f>
        <v>22340.8979591837</v>
      </c>
    </row>
    <row r="15" customFormat="false" ht="15" hidden="false" customHeight="false" outlineLevel="0" collapsed="false">
      <c r="B15" s="0" t="s">
        <v>58</v>
      </c>
      <c r="C15" s="7" t="n">
        <f aca="false">(C11+C13-C14)/(1-Inputs!$C$27)</f>
        <v>9420.89795918367</v>
      </c>
      <c r="E15" s="12" t="s">
        <v>59</v>
      </c>
      <c r="F15" s="7" t="n">
        <f aca="false">F8-F14</f>
        <v>0</v>
      </c>
    </row>
    <row r="16" customFormat="false" ht="15" hidden="false" customHeight="false" outlineLevel="0" collapsed="false">
      <c r="B16" s="0" t="s">
        <v>55</v>
      </c>
      <c r="C16" s="7" t="n">
        <f aca="false">C15*Inputs!$C$27</f>
        <v>188.417959183673</v>
      </c>
    </row>
    <row r="17" customFormat="false" ht="15" hidden="false" customHeight="false" outlineLevel="0" collapsed="false">
      <c r="B17" s="0" t="s">
        <v>60</v>
      </c>
      <c r="C17" s="7" t="n">
        <f aca="false">C12/Inputs!$C$7</f>
        <v>128.470588235294</v>
      </c>
    </row>
    <row r="18" customFormat="false" ht="15" hidden="false" customHeight="false" outlineLevel="0" collapsed="false">
      <c r="B18" s="0" t="s">
        <v>61</v>
      </c>
      <c r="C18" s="14" t="n">
        <f aca="false">C5/Inputs!$C$7*Inputs!$C$22</f>
        <v>0.321176470588235</v>
      </c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0" t="s">
        <v>42</v>
      </c>
      <c r="C21" s="7" t="n">
        <f aca="false">C6</f>
        <v>21840</v>
      </c>
    </row>
    <row r="22" customFormat="false" ht="15" hidden="false" customHeight="false" outlineLevel="0" collapsed="false">
      <c r="B22" s="0" t="s">
        <v>63</v>
      </c>
      <c r="C22" s="7" t="n">
        <f aca="false">-Inputs!$D$14</f>
        <v>-6500</v>
      </c>
    </row>
    <row r="23" customFormat="false" ht="15" hidden="false" customHeight="false" outlineLevel="0" collapsed="false">
      <c r="B23" s="0" t="s">
        <v>64</v>
      </c>
      <c r="C23" s="7" t="n">
        <f aca="false">C21+C22</f>
        <v>15340</v>
      </c>
    </row>
    <row r="24" customFormat="false" ht="15" hidden="false" customHeight="false" outlineLevel="0" collapsed="false">
      <c r="B24" s="0" t="s">
        <v>65</v>
      </c>
      <c r="C24" s="7" t="n">
        <f aca="false">C23*Inputs!$C$29</f>
        <v>3835</v>
      </c>
    </row>
    <row r="25" customFormat="false" ht="15" hidden="false" customHeight="false" outlineLevel="0" collapsed="false">
      <c r="B25" s="0" t="s">
        <v>66</v>
      </c>
      <c r="C25" s="7" t="n">
        <f aca="false">C24*Inputs!$C$32</f>
        <v>882.05</v>
      </c>
    </row>
    <row r="26" customFormat="false" ht="15" hidden="false" customHeight="false" outlineLevel="0" collapsed="false">
      <c r="B26" s="0" t="s">
        <v>67</v>
      </c>
      <c r="C26" s="13" t="n">
        <f aca="false">C23-C24+C25</f>
        <v>12387.05</v>
      </c>
    </row>
    <row r="27" customFormat="false" ht="15" hidden="false" customHeight="false" outlineLevel="0" collapsed="false">
      <c r="B27" s="0" t="s">
        <v>68</v>
      </c>
      <c r="C27" s="7" t="n">
        <f aca="false">C24/Inputs!$C$30</f>
        <v>255.666666666667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8.71"/>
    <col collapsed="false" customWidth="true" hidden="false" outlineLevel="0" max="5" min="3" style="0" width="14.71"/>
  </cols>
  <sheetData>
    <row r="2" customFormat="false" ht="17.35" hidden="false" customHeight="false" outlineLevel="0" collapsed="false">
      <c r="B2" s="1" t="s">
        <v>69</v>
      </c>
    </row>
    <row r="4" customFormat="false" ht="15" hidden="false" customHeight="false" outlineLevel="0" collapsed="false">
      <c r="B4" s="3"/>
      <c r="C4" s="3" t="s">
        <v>70</v>
      </c>
      <c r="D4" s="3" t="s">
        <v>71</v>
      </c>
      <c r="E4" s="3" t="s">
        <v>72</v>
      </c>
    </row>
    <row r="5" customFormat="false" ht="15" hidden="false" customHeight="false" outlineLevel="0" collapsed="false">
      <c r="B5" s="0" t="s">
        <v>73</v>
      </c>
      <c r="C5" s="15" t="n">
        <f aca="false">Inputs!$C$9*(1+Inputs!$C$33)^0</f>
        <v>4.5</v>
      </c>
      <c r="D5" s="15" t="n">
        <f aca="false">Inputs!$C$9*(1+Inputs!$C$33)^1</f>
        <v>4.815</v>
      </c>
      <c r="E5" s="15" t="n">
        <f aca="false">Inputs!$C$9*(1+Inputs!$C$33)^2</f>
        <v>5.15205</v>
      </c>
    </row>
    <row r="6" customFormat="false" ht="15" hidden="false" customHeight="false" outlineLevel="0" collapsed="false">
      <c r="B6" s="0" t="s">
        <v>74</v>
      </c>
      <c r="C6" s="7" t="n">
        <f aca="false">C5*Inputs!$C$8</f>
        <v>5400</v>
      </c>
      <c r="D6" s="7" t="n">
        <f aca="false">D5*Inputs!$C$8</f>
        <v>5778</v>
      </c>
      <c r="E6" s="7" t="n">
        <f aca="false">E5*Inputs!$C$8</f>
        <v>6182.46</v>
      </c>
    </row>
    <row r="7" customFormat="false" ht="15" hidden="false" customHeight="false" outlineLevel="0" collapsed="false">
      <c r="B7" s="0" t="s">
        <v>75</v>
      </c>
      <c r="C7" s="7" t="n">
        <f aca="false">Inputs!$D$9*(1+Inputs!$C$34)^0*Inputs!$D$8</f>
        <v>960</v>
      </c>
      <c r="D7" s="7" t="n">
        <f aca="false">Inputs!$D$9*(1+Inputs!$C$34)^1*Inputs!$D$8</f>
        <v>1027.2</v>
      </c>
      <c r="E7" s="7" t="n">
        <f aca="false">Inputs!$D$9*(1+Inputs!$C$34)^2*Inputs!$D$8</f>
        <v>1099.104</v>
      </c>
    </row>
    <row r="8" customFormat="false" ht="15" hidden="false" customHeight="false" outlineLevel="0" collapsed="false">
      <c r="B8" s="0" t="s">
        <v>76</v>
      </c>
      <c r="C8" s="7" t="n">
        <f aca="false">Inputs!$C$31*Inputs!$C$35</f>
        <v>200</v>
      </c>
      <c r="D8" s="7" t="n">
        <f aca="false">Inputs!$C$31*Inputs!$D$35</f>
        <v>400</v>
      </c>
      <c r="E8" s="7" t="n">
        <f aca="false">Inputs!$C$31*Inputs!$E$35</f>
        <v>500</v>
      </c>
    </row>
    <row r="9" customFormat="false" ht="15" hidden="false" customHeight="false" outlineLevel="0" collapsed="false">
      <c r="B9" s="0" t="s">
        <v>77</v>
      </c>
      <c r="C9" s="7" t="n">
        <f aca="false">-Transaction!$C$15*Inputs!$C$23</f>
        <v>-565.25387755102</v>
      </c>
      <c r="D9" s="7" t="n">
        <f aca="false">-Transaction!$C$15*Inputs!$C$23</f>
        <v>-565.25387755102</v>
      </c>
      <c r="E9" s="7" t="n">
        <f aca="false">-Transaction!$C$15*Inputs!$C$23</f>
        <v>-565.25387755102</v>
      </c>
    </row>
    <row r="10" customFormat="false" ht="15" hidden="false" customHeight="false" outlineLevel="0" collapsed="false">
      <c r="B10" s="0" t="s">
        <v>78</v>
      </c>
      <c r="C10" s="7" t="n">
        <f aca="false">-Transaction!$C$14*Inputs!$C$24</f>
        <v>-80</v>
      </c>
      <c r="D10" s="7" t="n">
        <f aca="false">-Transaction!$C$14*Inputs!$C$24</f>
        <v>-80</v>
      </c>
      <c r="E10" s="7" t="n">
        <f aca="false">-Transaction!$C$14*Inputs!$C$24</f>
        <v>-80</v>
      </c>
    </row>
    <row r="11" customFormat="false" ht="15" hidden="false" customHeight="false" outlineLevel="0" collapsed="false">
      <c r="B11" s="0" t="s">
        <v>79</v>
      </c>
      <c r="C11" s="16" t="n">
        <f aca="false">-Transaction!$C$27</f>
        <v>-255.666666666667</v>
      </c>
      <c r="D11" s="16" t="n">
        <f aca="false">-Transaction!$C$27</f>
        <v>-255.666666666667</v>
      </c>
      <c r="E11" s="16" t="n">
        <f aca="false">-Transaction!$C$27</f>
        <v>-255.666666666667</v>
      </c>
    </row>
    <row r="12" customFormat="false" ht="15" hidden="false" customHeight="false" outlineLevel="0" collapsed="false">
      <c r="B12" s="0" t="s">
        <v>80</v>
      </c>
      <c r="C12" s="7" t="n">
        <f aca="false">-Transaction!$C$16/Inputs!$C$28</f>
        <v>-26.9168513119533</v>
      </c>
      <c r="D12" s="7" t="n">
        <f aca="false">-Transaction!$C$16/Inputs!$C$28</f>
        <v>-26.9168513119533</v>
      </c>
      <c r="E12" s="7" t="n">
        <f aca="false">-Transaction!$C$16/Inputs!$C$28</f>
        <v>-26.9168513119533</v>
      </c>
    </row>
    <row r="13" customFormat="false" ht="15" hidden="false" customHeight="false" outlineLevel="0" collapsed="false">
      <c r="B13" s="0" t="s">
        <v>81</v>
      </c>
      <c r="C13" s="7" t="n">
        <f aca="false">-SUM(C8:C12)*Inputs!$C$32</f>
        <v>167.402600971817</v>
      </c>
      <c r="D13" s="7" t="n">
        <f aca="false">-SUM(D8:D12)*Inputs!$C$32</f>
        <v>121.402600971817</v>
      </c>
      <c r="E13" s="7" t="n">
        <f aca="false">-SUM(E8:E12)*Inputs!$C$32</f>
        <v>98.4026009718173</v>
      </c>
    </row>
    <row r="14" customFormat="false" ht="15" hidden="false" customHeight="false" outlineLevel="0" collapsed="false">
      <c r="B14" s="9" t="s">
        <v>82</v>
      </c>
      <c r="C14" s="13" t="n">
        <f aca="false">SUM(C6:C13)</f>
        <v>5799.56520544218</v>
      </c>
      <c r="D14" s="13" t="n">
        <f aca="false">SUM(D6:D13)</f>
        <v>6398.76520544218</v>
      </c>
      <c r="E14" s="13" t="n">
        <f aca="false">SUM(E6:E13)</f>
        <v>6952.12920544218</v>
      </c>
    </row>
    <row r="15" customFormat="false" ht="15" hidden="false" customHeight="false" outlineLevel="0" collapsed="false">
      <c r="B15" s="0" t="s">
        <v>83</v>
      </c>
      <c r="C15" s="16" t="n">
        <f aca="false">Inputs!$C$8</f>
        <v>1200</v>
      </c>
      <c r="D15" s="16" t="n">
        <f aca="false">Inputs!$C$8</f>
        <v>1200</v>
      </c>
      <c r="E15" s="16" t="n">
        <f aca="false">Inputs!$C$8</f>
        <v>1200</v>
      </c>
    </row>
    <row r="16" customFormat="false" ht="15" hidden="false" customHeight="false" outlineLevel="0" collapsed="false">
      <c r="B16" s="0" t="s">
        <v>84</v>
      </c>
      <c r="C16" s="16" t="n">
        <f aca="false">Transaction!$C$17</f>
        <v>128.470588235294</v>
      </c>
      <c r="D16" s="16" t="n">
        <f aca="false">Transaction!$C$17</f>
        <v>128.470588235294</v>
      </c>
      <c r="E16" s="16" t="n">
        <f aca="false">Transaction!$C$17</f>
        <v>128.470588235294</v>
      </c>
    </row>
    <row r="17" customFormat="false" ht="15" hidden="false" customHeight="false" outlineLevel="0" collapsed="false">
      <c r="B17" s="0" t="s">
        <v>85</v>
      </c>
      <c r="C17" s="13" t="n">
        <f aca="false">C15+C16</f>
        <v>1328.47058823529</v>
      </c>
      <c r="D17" s="13" t="n">
        <f aca="false">D15+D16</f>
        <v>1328.47058823529</v>
      </c>
      <c r="E17" s="13" t="n">
        <f aca="false">E15+E16</f>
        <v>1328.47058823529</v>
      </c>
    </row>
    <row r="18" customFormat="false" ht="15" hidden="false" customHeight="false" outlineLevel="0" collapsed="false">
      <c r="B18" s="9" t="s">
        <v>86</v>
      </c>
      <c r="C18" s="15" t="n">
        <f aca="false">C14/C17</f>
        <v>4.36559548762474</v>
      </c>
      <c r="D18" s="15" t="n">
        <f aca="false">D14/D17</f>
        <v>4.81664047522658</v>
      </c>
      <c r="E18" s="15" t="n">
        <f aca="false">E14/E17</f>
        <v>5.23318262896374</v>
      </c>
    </row>
    <row r="19" customFormat="false" ht="15" hidden="false" customHeight="false" outlineLevel="0" collapsed="false">
      <c r="B19" s="9" t="s">
        <v>87</v>
      </c>
      <c r="C19" s="17" t="n">
        <f aca="false">C18/C5-1</f>
        <v>-0.0298676694167255</v>
      </c>
      <c r="D19" s="17" t="n">
        <f aca="false">D18/D5-1</f>
        <v>0.000340700981636077</v>
      </c>
      <c r="E19" s="17" t="n">
        <f aca="false">E18/E5-1</f>
        <v>0.0157476400585663</v>
      </c>
    </row>
    <row r="20" customFormat="false" ht="15" hidden="false" customHeight="false" outlineLevel="0" collapsed="false">
      <c r="B20" s="0" t="s">
        <v>88</v>
      </c>
      <c r="C20" s="15" t="n">
        <f aca="false">(C14-C11*(1-Inputs!$C$32))/C17</f>
        <v>4.51378343779595</v>
      </c>
      <c r="D20" s="15" t="n">
        <f aca="false">(D14-D11*(1-Inputs!$C$32))/D17</f>
        <v>4.96482842539779</v>
      </c>
      <c r="E20" s="15" t="n">
        <f aca="false">(E14-E11*(1-Inputs!$C$32))/E17</f>
        <v>5.38137057913495</v>
      </c>
    </row>
    <row r="21" customFormat="false" ht="15" hidden="false" customHeight="false" outlineLevel="0" collapsed="false">
      <c r="B21" s="0" t="s">
        <v>89</v>
      </c>
      <c r="C21" s="18" t="n">
        <f aca="false">C20/C5-1</f>
        <v>0.00306298617687739</v>
      </c>
      <c r="D21" s="18" t="n">
        <f aca="false">D20/D5-1</f>
        <v>0.0311170146205171</v>
      </c>
      <c r="E21" s="18" t="n">
        <f aca="false">E20/E5-1</f>
        <v>0.044510550001446</v>
      </c>
    </row>
    <row r="22" customFormat="false" ht="15" hidden="false" customHeight="false" outlineLevel="0" collapsed="false">
      <c r="B22" s="0" t="s">
        <v>90</v>
      </c>
      <c r="C22" s="7" t="n">
        <f aca="false">MAX(0,(C5*C17-(C14-C8*(1-Inputs!$C$32)))/(1-Inputs!$C$32))</f>
        <v>431.886287813826</v>
      </c>
      <c r="D22" s="7" t="n">
        <f aca="false">MAX(0,(D5*D17-(D14-D8*(1-Inputs!$C$32)))/(1-Inputs!$C$32))</f>
        <v>397.169710273719</v>
      </c>
      <c r="E22" s="7" t="n">
        <f aca="false">MAX(0,(E5*E17-(E14-E8*(1-Inputs!$C$32)))/(1-Inputs!$C$32))</f>
        <v>360.022972305805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16.71"/>
    <col collapsed="false" customWidth="true" hidden="false" outlineLevel="0" max="7" min="3" style="0" width="12.71"/>
  </cols>
  <sheetData>
    <row r="2" customFormat="false" ht="17.35" hidden="false" customHeight="false" outlineLevel="0" collapsed="false">
      <c r="B2" s="1" t="s">
        <v>91</v>
      </c>
    </row>
    <row r="4" customFormat="false" ht="15" hidden="false" customHeight="false" outlineLevel="0" collapsed="false">
      <c r="B4" s="9" t="s">
        <v>92</v>
      </c>
    </row>
    <row r="5" customFormat="false" ht="15" hidden="false" customHeight="false" outlineLevel="0" collapsed="false">
      <c r="B5" s="2" t="s">
        <v>93</v>
      </c>
      <c r="C5" s="19" t="n">
        <v>0</v>
      </c>
      <c r="D5" s="19" t="n">
        <v>0.25</v>
      </c>
      <c r="E5" s="19" t="n">
        <v>0.5</v>
      </c>
      <c r="F5" s="19" t="n">
        <v>0.75</v>
      </c>
      <c r="G5" s="19" t="n">
        <v>1</v>
      </c>
    </row>
    <row r="6" customFormat="false" ht="15" hidden="false" customHeight="false" outlineLevel="0" collapsed="false">
      <c r="B6" s="19" t="n">
        <v>0.15</v>
      </c>
      <c r="C6" s="20" t="n">
        <f aca="false">((Inputs!$C$9*(1+Inputs!$C$33)^1)*Inputs!$C$8+Inputs!$D$9*(1+Inputs!$C$34)^1*Inputs!$D$8+(Inputs!$C$31*Inputs!$D$35-(((((Inputs!$D$7*(1+$B$6))*Inputs!$D$8)*(1-C$5))+(Inputs!$C$26*(((Inputs!$D$7*(1+$B$6))*Inputs!$D$8)+Inputs!$D$16))-MIN(MAX(Inputs!$C$11-Inputs!$C$25,0),(((Inputs!$D$7*(1+$B$6))*Inputs!$D$8)*(1-C$5))+(Inputs!$C$26*(((Inputs!$D$7*(1+$B$6))*Inputs!$D$8)+Inputs!$D$16))))/(1-Inputs!$C$27))*Inputs!$C$23-MIN(MAX(Inputs!$C$11-Inputs!$C$25,0),(((Inputs!$D$7*(1+$B$6))*Inputs!$D$8)*(1-C$5))+(Inputs!$C$26*(((Inputs!$D$7*(1+$B$6))*Inputs!$D$8)+Inputs!$D$16)))*Inputs!$C$24-(Inputs!$C$29*(((Inputs!$D$7*(1+$B$6))*Inputs!$D$8)-Inputs!$D$14))/Inputs!$C$30-(((((Inputs!$D$7*(1+$B$6))*Inputs!$D$8)*(1-C$5))+(Inputs!$C$26*(((Inputs!$D$7*(1+$B$6))*Inputs!$D$8)+Inputs!$D$16))-MIN(MAX(Inputs!$C$11-Inputs!$C$25,0),(((Inputs!$D$7*(1+$B$6))*Inputs!$D$8)*(1-C$5))+(Inputs!$C$26*(((Inputs!$D$7*(1+$B$6))*Inputs!$D$8)+Inputs!$D$16))))/(1-Inputs!$C$27))*Inputs!$C$27/Inputs!$C$28)*(1-Inputs!$C$32))/(Inputs!$C$8+(((Inputs!$D$7*(1+$B$6))*Inputs!$D$8)*C$5/Inputs!$C$7))/(Inputs!$C$9*(1+Inputs!$C$33)^1)-1</f>
        <v>0.0414921336620491</v>
      </c>
      <c r="D6" s="20" t="n">
        <f aca="false">((Inputs!$C$9*(1+Inputs!$C$33)^1)*Inputs!$C$8+Inputs!$D$9*(1+Inputs!$C$34)^1*Inputs!$D$8+(Inputs!$C$31*Inputs!$D$35-(((((Inputs!$D$7*(1+$B$6))*Inputs!$D$8)*(1-D$5))+(Inputs!$C$26*(((Inputs!$D$7*(1+$B$6))*Inputs!$D$8)+Inputs!$D$16))-MIN(MAX(Inputs!$C$11-Inputs!$C$25,0),(((Inputs!$D$7*(1+$B$6))*Inputs!$D$8)*(1-D$5))+(Inputs!$C$26*(((Inputs!$D$7*(1+$B$6))*Inputs!$D$8)+Inputs!$D$16))))/(1-Inputs!$C$27))*Inputs!$C$23-MIN(MAX(Inputs!$C$11-Inputs!$C$25,0),(((Inputs!$D$7*(1+$B$6))*Inputs!$D$8)*(1-D$5))+(Inputs!$C$26*(((Inputs!$D$7*(1+$B$6))*Inputs!$D$8)+Inputs!$D$16)))*Inputs!$C$24-(Inputs!$C$29*(((Inputs!$D$7*(1+$B$6))*Inputs!$D$8)-Inputs!$D$14))/Inputs!$C$30-(((((Inputs!$D$7*(1+$B$6))*Inputs!$D$8)*(1-D$5))+(Inputs!$C$26*(((Inputs!$D$7*(1+$B$6))*Inputs!$D$8)+Inputs!$D$16))-MIN(MAX(Inputs!$C$11-Inputs!$C$25,0),(((Inputs!$D$7*(1+$B$6))*Inputs!$D$8)*(1-D$5))+(Inputs!$C$26*(((Inputs!$D$7*(1+$B$6))*Inputs!$D$8)+Inputs!$D$16))))/(1-Inputs!$C$27))*Inputs!$C$27/Inputs!$C$28)*(1-Inputs!$C$32))/(Inputs!$C$8+(((Inputs!$D$7*(1+$B$6))*Inputs!$D$8)*D$5/Inputs!$C$7))/(Inputs!$C$9*(1+Inputs!$C$33)^1)-1</f>
        <v>0.0338222837374216</v>
      </c>
      <c r="E6" s="20" t="n">
        <f aca="false">((Inputs!$C$9*(1+Inputs!$C$33)^1)*Inputs!$C$8+Inputs!$D$9*(1+Inputs!$C$34)^1*Inputs!$D$8+(Inputs!$C$31*Inputs!$D$35-(((((Inputs!$D$7*(1+$B$6))*Inputs!$D$8)*(1-E$5))+(Inputs!$C$26*(((Inputs!$D$7*(1+$B$6))*Inputs!$D$8)+Inputs!$D$16))-MIN(MAX(Inputs!$C$11-Inputs!$C$25,0),(((Inputs!$D$7*(1+$B$6))*Inputs!$D$8)*(1-E$5))+(Inputs!$C$26*(((Inputs!$D$7*(1+$B$6))*Inputs!$D$8)+Inputs!$D$16))))/(1-Inputs!$C$27))*Inputs!$C$23-MIN(MAX(Inputs!$C$11-Inputs!$C$25,0),(((Inputs!$D$7*(1+$B$6))*Inputs!$D$8)*(1-E$5))+(Inputs!$C$26*(((Inputs!$D$7*(1+$B$6))*Inputs!$D$8)+Inputs!$D$16)))*Inputs!$C$24-(Inputs!$C$29*(((Inputs!$D$7*(1+$B$6))*Inputs!$D$8)-Inputs!$D$14))/Inputs!$C$30-(((((Inputs!$D$7*(1+$B$6))*Inputs!$D$8)*(1-E$5))+(Inputs!$C$26*(((Inputs!$D$7*(1+$B$6))*Inputs!$D$8)+Inputs!$D$16))-MIN(MAX(Inputs!$C$11-Inputs!$C$25,0),(((Inputs!$D$7*(1+$B$6))*Inputs!$D$8)*(1-E$5))+(Inputs!$C$26*(((Inputs!$D$7*(1+$B$6))*Inputs!$D$8)+Inputs!$D$16))))/(1-Inputs!$C$27))*Inputs!$C$27/Inputs!$C$28)*(1-Inputs!$C$32))/(Inputs!$C$8+(((Inputs!$D$7*(1+$B$6))*Inputs!$D$8)*E$5/Inputs!$C$7))/(Inputs!$C$9*(1+Inputs!$C$33)^1)-1</f>
        <v>0.0268159726832213</v>
      </c>
      <c r="F6" s="20" t="n">
        <f aca="false">((Inputs!$C$9*(1+Inputs!$C$33)^1)*Inputs!$C$8+Inputs!$D$9*(1+Inputs!$C$34)^1*Inputs!$D$8+(Inputs!$C$31*Inputs!$D$35-(((((Inputs!$D$7*(1+$B$6))*Inputs!$D$8)*(1-F$5))+(Inputs!$C$26*(((Inputs!$D$7*(1+$B$6))*Inputs!$D$8)+Inputs!$D$16))-MIN(MAX(Inputs!$C$11-Inputs!$C$25,0),(((Inputs!$D$7*(1+$B$6))*Inputs!$D$8)*(1-F$5))+(Inputs!$C$26*(((Inputs!$D$7*(1+$B$6))*Inputs!$D$8)+Inputs!$D$16))))/(1-Inputs!$C$27))*Inputs!$C$23-MIN(MAX(Inputs!$C$11-Inputs!$C$25,0),(((Inputs!$D$7*(1+$B$6))*Inputs!$D$8)*(1-F$5))+(Inputs!$C$26*(((Inputs!$D$7*(1+$B$6))*Inputs!$D$8)+Inputs!$D$16)))*Inputs!$C$24-(Inputs!$C$29*(((Inputs!$D$7*(1+$B$6))*Inputs!$D$8)-Inputs!$D$14))/Inputs!$C$30-(((((Inputs!$D$7*(1+$B$6))*Inputs!$D$8)*(1-F$5))+(Inputs!$C$26*(((Inputs!$D$7*(1+$B$6))*Inputs!$D$8)+Inputs!$D$16))-MIN(MAX(Inputs!$C$11-Inputs!$C$25,0),(((Inputs!$D$7*(1+$B$6))*Inputs!$D$8)*(1-F$5))+(Inputs!$C$26*(((Inputs!$D$7*(1+$B$6))*Inputs!$D$8)+Inputs!$D$16))))/(1-Inputs!$C$27))*Inputs!$C$27/Inputs!$C$28)*(1-Inputs!$C$32))/(Inputs!$C$8+(((Inputs!$D$7*(1+$B$6))*Inputs!$D$8)*F$5/Inputs!$C$7))/(Inputs!$C$9*(1+Inputs!$C$33)^1)-1</f>
        <v>0.0203906639878806</v>
      </c>
      <c r="G6" s="20" t="n">
        <f aca="false">((Inputs!$C$9*(1+Inputs!$C$33)^1)*Inputs!$C$8+Inputs!$D$9*(1+Inputs!$C$34)^1*Inputs!$D$8+(Inputs!$C$31*Inputs!$D$35-(((((Inputs!$D$7*(1+$B$6))*Inputs!$D$8)*(1-G$5))+(Inputs!$C$26*(((Inputs!$D$7*(1+$B$6))*Inputs!$D$8)+Inputs!$D$16))-MIN(MAX(Inputs!$C$11-Inputs!$C$25,0),(((Inputs!$D$7*(1+$B$6))*Inputs!$D$8)*(1-G$5))+(Inputs!$C$26*(((Inputs!$D$7*(1+$B$6))*Inputs!$D$8)+Inputs!$D$16))))/(1-Inputs!$C$27))*Inputs!$C$23-MIN(MAX(Inputs!$C$11-Inputs!$C$25,0),(((Inputs!$D$7*(1+$B$6))*Inputs!$D$8)*(1-G$5))+(Inputs!$C$26*(((Inputs!$D$7*(1+$B$6))*Inputs!$D$8)+Inputs!$D$16)))*Inputs!$C$24-(Inputs!$C$29*(((Inputs!$D$7*(1+$B$6))*Inputs!$D$8)-Inputs!$D$14))/Inputs!$C$30-(((((Inputs!$D$7*(1+$B$6))*Inputs!$D$8)*(1-G$5))+(Inputs!$C$26*(((Inputs!$D$7*(1+$B$6))*Inputs!$D$8)+Inputs!$D$16))-MIN(MAX(Inputs!$C$11-Inputs!$C$25,0),(((Inputs!$D$7*(1+$B$6))*Inputs!$D$8)*(1-G$5))+(Inputs!$C$26*(((Inputs!$D$7*(1+$B$6))*Inputs!$D$8)+Inputs!$D$16))))/(1-Inputs!$C$27))*Inputs!$C$27/Inputs!$C$28)*(1-Inputs!$C$32))/(Inputs!$C$8+(((Inputs!$D$7*(1+$B$6))*Inputs!$D$8)*G$5/Inputs!$C$7))/(Inputs!$C$9*(1+Inputs!$C$33)^1)-1</f>
        <v>0.00983096007377959</v>
      </c>
    </row>
    <row r="7" customFormat="false" ht="15" hidden="false" customHeight="false" outlineLevel="0" collapsed="false">
      <c r="B7" s="19" t="n">
        <v>0.225</v>
      </c>
      <c r="C7" s="20" t="n">
        <f aca="false">((Inputs!$C$9*(1+Inputs!$C$33)^1)*Inputs!$C$8+Inputs!$D$9*(1+Inputs!$C$34)^1*Inputs!$D$8+(Inputs!$C$31*Inputs!$D$35-(((((Inputs!$D$7*(1+$B$7))*Inputs!$D$8)*(1-C$5))+(Inputs!$C$26*(((Inputs!$D$7*(1+$B$7))*Inputs!$D$8)+Inputs!$D$16))-MIN(MAX(Inputs!$C$11-Inputs!$C$25,0),(((Inputs!$D$7*(1+$B$7))*Inputs!$D$8)*(1-C$5))+(Inputs!$C$26*(((Inputs!$D$7*(1+$B$7))*Inputs!$D$8)+Inputs!$D$16))))/(1-Inputs!$C$27))*Inputs!$C$23-MIN(MAX(Inputs!$C$11-Inputs!$C$25,0),(((Inputs!$D$7*(1+$B$7))*Inputs!$D$8)*(1-C$5))+(Inputs!$C$26*(((Inputs!$D$7*(1+$B$7))*Inputs!$D$8)+Inputs!$D$16)))*Inputs!$C$24-(Inputs!$C$29*(((Inputs!$D$7*(1+$B$7))*Inputs!$D$8)-Inputs!$D$14))/Inputs!$C$30-(((((Inputs!$D$7*(1+$B$7))*Inputs!$D$8)*(1-C$5))+(Inputs!$C$26*(((Inputs!$D$7*(1+$B$7))*Inputs!$D$8)+Inputs!$D$16))-MIN(MAX(Inputs!$C$11-Inputs!$C$25,0),(((Inputs!$D$7*(1+$B$7))*Inputs!$D$8)*(1-C$5))+(Inputs!$C$26*(((Inputs!$D$7*(1+$B$7))*Inputs!$D$8)+Inputs!$D$16))))/(1-Inputs!$C$27))*Inputs!$C$27/Inputs!$C$28)*(1-Inputs!$C$32))/(Inputs!$C$8+(((Inputs!$D$7*(1+$B$7))*Inputs!$D$8)*C$5/Inputs!$C$7))/(Inputs!$C$9*(1+Inputs!$C$33)^1)-1</f>
        <v>0.0277944330241617</v>
      </c>
      <c r="D7" s="20" t="n">
        <f aca="false">((Inputs!$C$9*(1+Inputs!$C$33)^1)*Inputs!$C$8+Inputs!$D$9*(1+Inputs!$C$34)^1*Inputs!$D$8+(Inputs!$C$31*Inputs!$D$35-(((((Inputs!$D$7*(1+$B$7))*Inputs!$D$8)*(1-D$5))+(Inputs!$C$26*(((Inputs!$D$7*(1+$B$7))*Inputs!$D$8)+Inputs!$D$16))-MIN(MAX(Inputs!$C$11-Inputs!$C$25,0),(((Inputs!$D$7*(1+$B$7))*Inputs!$D$8)*(1-D$5))+(Inputs!$C$26*(((Inputs!$D$7*(1+$B$7))*Inputs!$D$8)+Inputs!$D$16))))/(1-Inputs!$C$27))*Inputs!$C$23-MIN(MAX(Inputs!$C$11-Inputs!$C$25,0),(((Inputs!$D$7*(1+$B$7))*Inputs!$D$8)*(1-D$5))+(Inputs!$C$26*(((Inputs!$D$7*(1+$B$7))*Inputs!$D$8)+Inputs!$D$16)))*Inputs!$C$24-(Inputs!$C$29*(((Inputs!$D$7*(1+$B$7))*Inputs!$D$8)-Inputs!$D$14))/Inputs!$C$30-(((((Inputs!$D$7*(1+$B$7))*Inputs!$D$8)*(1-D$5))+(Inputs!$C$26*(((Inputs!$D$7*(1+$B$7))*Inputs!$D$8)+Inputs!$D$16))-MIN(MAX(Inputs!$C$11-Inputs!$C$25,0),(((Inputs!$D$7*(1+$B$7))*Inputs!$D$8)*(1-D$5))+(Inputs!$C$26*(((Inputs!$D$7*(1+$B$7))*Inputs!$D$8)+Inputs!$D$16))))/(1-Inputs!$C$27))*Inputs!$C$27/Inputs!$C$28)*(1-Inputs!$C$32))/(Inputs!$C$8+(((Inputs!$D$7*(1+$B$7))*Inputs!$D$8)*D$5/Inputs!$C$7))/(Inputs!$C$9*(1+Inputs!$C$33)^1)-1</f>
        <v>0.0203061454141207</v>
      </c>
      <c r="E7" s="20" t="n">
        <f aca="false">((Inputs!$C$9*(1+Inputs!$C$33)^1)*Inputs!$C$8+Inputs!$D$9*(1+Inputs!$C$34)^1*Inputs!$D$8+(Inputs!$C$31*Inputs!$D$35-(((((Inputs!$D$7*(1+$B$7))*Inputs!$D$8)*(1-E$5))+(Inputs!$C$26*(((Inputs!$D$7*(1+$B$7))*Inputs!$D$8)+Inputs!$D$16))-MIN(MAX(Inputs!$C$11-Inputs!$C$25,0),(((Inputs!$D$7*(1+$B$7))*Inputs!$D$8)*(1-E$5))+(Inputs!$C$26*(((Inputs!$D$7*(1+$B$7))*Inputs!$D$8)+Inputs!$D$16))))/(1-Inputs!$C$27))*Inputs!$C$23-MIN(MAX(Inputs!$C$11-Inputs!$C$25,0),(((Inputs!$D$7*(1+$B$7))*Inputs!$D$8)*(1-E$5))+(Inputs!$C$26*(((Inputs!$D$7*(1+$B$7))*Inputs!$D$8)+Inputs!$D$16)))*Inputs!$C$24-(Inputs!$C$29*(((Inputs!$D$7*(1+$B$7))*Inputs!$D$8)-Inputs!$D$14))/Inputs!$C$30-(((((Inputs!$D$7*(1+$B$7))*Inputs!$D$8)*(1-E$5))+(Inputs!$C$26*(((Inputs!$D$7*(1+$B$7))*Inputs!$D$8)+Inputs!$D$16))-MIN(MAX(Inputs!$C$11-Inputs!$C$25,0),(((Inputs!$D$7*(1+$B$7))*Inputs!$D$8)*(1-E$5))+(Inputs!$C$26*(((Inputs!$D$7*(1+$B$7))*Inputs!$D$8)+Inputs!$D$16))))/(1-Inputs!$C$27))*Inputs!$C$27/Inputs!$C$28)*(1-Inputs!$C$32))/(Inputs!$C$8+(((Inputs!$D$7*(1+$B$7))*Inputs!$D$8)*E$5/Inputs!$C$7))/(Inputs!$C$9*(1+Inputs!$C$33)^1)-1</f>
        <v>0.0135040674354567</v>
      </c>
      <c r="F7" s="20" t="n">
        <f aca="false">((Inputs!$C$9*(1+Inputs!$C$33)^1)*Inputs!$C$8+Inputs!$D$9*(1+Inputs!$C$34)^1*Inputs!$D$8+(Inputs!$C$31*Inputs!$D$35-(((((Inputs!$D$7*(1+$B$7))*Inputs!$D$8)*(1-F$5))+(Inputs!$C$26*(((Inputs!$D$7*(1+$B$7))*Inputs!$D$8)+Inputs!$D$16))-MIN(MAX(Inputs!$C$11-Inputs!$C$25,0),(((Inputs!$D$7*(1+$B$7))*Inputs!$D$8)*(1-F$5))+(Inputs!$C$26*(((Inputs!$D$7*(1+$B$7))*Inputs!$D$8)+Inputs!$D$16))))/(1-Inputs!$C$27))*Inputs!$C$23-MIN(MAX(Inputs!$C$11-Inputs!$C$25,0),(((Inputs!$D$7*(1+$B$7))*Inputs!$D$8)*(1-F$5))+(Inputs!$C$26*(((Inputs!$D$7*(1+$B$7))*Inputs!$D$8)+Inputs!$D$16)))*Inputs!$C$24-(Inputs!$C$29*(((Inputs!$D$7*(1+$B$7))*Inputs!$D$8)-Inputs!$D$14))/Inputs!$C$30-(((((Inputs!$D$7*(1+$B$7))*Inputs!$D$8)*(1-F$5))+(Inputs!$C$26*(((Inputs!$D$7*(1+$B$7))*Inputs!$D$8)+Inputs!$D$16))-MIN(MAX(Inputs!$C$11-Inputs!$C$25,0),(((Inputs!$D$7*(1+$B$7))*Inputs!$D$8)*(1-F$5))+(Inputs!$C$26*(((Inputs!$D$7*(1+$B$7))*Inputs!$D$8)+Inputs!$D$16))))/(1-Inputs!$C$27))*Inputs!$C$27/Inputs!$C$28)*(1-Inputs!$C$32))/(Inputs!$C$8+(((Inputs!$D$7*(1+$B$7))*Inputs!$D$8)*F$5/Inputs!$C$7))/(Inputs!$C$9*(1+Inputs!$C$33)^1)-1</f>
        <v>0.00729800752977283</v>
      </c>
      <c r="G7" s="20" t="n">
        <f aca="false">((Inputs!$C$9*(1+Inputs!$C$33)^1)*Inputs!$C$8+Inputs!$D$9*(1+Inputs!$C$34)^1*Inputs!$D$8+(Inputs!$C$31*Inputs!$D$35-(((((Inputs!$D$7*(1+$B$7))*Inputs!$D$8)*(1-G$5))+(Inputs!$C$26*(((Inputs!$D$7*(1+$B$7))*Inputs!$D$8)+Inputs!$D$16))-MIN(MAX(Inputs!$C$11-Inputs!$C$25,0),(((Inputs!$D$7*(1+$B$7))*Inputs!$D$8)*(1-G$5))+(Inputs!$C$26*(((Inputs!$D$7*(1+$B$7))*Inputs!$D$8)+Inputs!$D$16))))/(1-Inputs!$C$27))*Inputs!$C$23-MIN(MAX(Inputs!$C$11-Inputs!$C$25,0),(((Inputs!$D$7*(1+$B$7))*Inputs!$D$8)*(1-G$5))+(Inputs!$C$26*(((Inputs!$D$7*(1+$B$7))*Inputs!$D$8)+Inputs!$D$16)))*Inputs!$C$24-(Inputs!$C$29*(((Inputs!$D$7*(1+$B$7))*Inputs!$D$8)-Inputs!$D$14))/Inputs!$C$30-(((((Inputs!$D$7*(1+$B$7))*Inputs!$D$8)*(1-G$5))+(Inputs!$C$26*(((Inputs!$D$7*(1+$B$7))*Inputs!$D$8)+Inputs!$D$16))-MIN(MAX(Inputs!$C$11-Inputs!$C$25,0),(((Inputs!$D$7*(1+$B$7))*Inputs!$D$8)*(1-G$5))+(Inputs!$C$26*(((Inputs!$D$7*(1+$B$7))*Inputs!$D$8)+Inputs!$D$16))))/(1-Inputs!$C$27))*Inputs!$C$27/Inputs!$C$28)*(1-Inputs!$C$32))/(Inputs!$C$8+(((Inputs!$D$7*(1+$B$7))*Inputs!$D$8)*G$5/Inputs!$C$7))/(Inputs!$C$9*(1+Inputs!$C$33)^1)-1</f>
        <v>-0.00294485761617302</v>
      </c>
    </row>
    <row r="8" customFormat="false" ht="15" hidden="false" customHeight="false" outlineLevel="0" collapsed="false">
      <c r="B8" s="19" t="n">
        <v>0.3</v>
      </c>
      <c r="C8" s="20" t="n">
        <f aca="false">((Inputs!$C$9*(1+Inputs!$C$33)^1)*Inputs!$C$8+Inputs!$D$9*(1+Inputs!$C$34)^1*Inputs!$D$8+(Inputs!$C$31*Inputs!$D$35-(((((Inputs!$D$7*(1+$B$8))*Inputs!$D$8)*(1-C$5))+(Inputs!$C$26*(((Inputs!$D$7*(1+$B$8))*Inputs!$D$8)+Inputs!$D$16))-MIN(MAX(Inputs!$C$11-Inputs!$C$25,0),(((Inputs!$D$7*(1+$B$8))*Inputs!$D$8)*(1-C$5))+(Inputs!$C$26*(((Inputs!$D$7*(1+$B$8))*Inputs!$D$8)+Inputs!$D$16))))/(1-Inputs!$C$27))*Inputs!$C$23-MIN(MAX(Inputs!$C$11-Inputs!$C$25,0),(((Inputs!$D$7*(1+$B$8))*Inputs!$D$8)*(1-C$5))+(Inputs!$C$26*(((Inputs!$D$7*(1+$B$8))*Inputs!$D$8)+Inputs!$D$16)))*Inputs!$C$24-(Inputs!$C$29*(((Inputs!$D$7*(1+$B$8))*Inputs!$D$8)-Inputs!$D$14))/Inputs!$C$30-(((((Inputs!$D$7*(1+$B$8))*Inputs!$D$8)*(1-C$5))+(Inputs!$C$26*(((Inputs!$D$7*(1+$B$8))*Inputs!$D$8)+Inputs!$D$16))-MIN(MAX(Inputs!$C$11-Inputs!$C$25,0),(((Inputs!$D$7*(1+$B$8))*Inputs!$D$8)*(1-C$5))+(Inputs!$C$26*(((Inputs!$D$7*(1+$B$8))*Inputs!$D$8)+Inputs!$D$16))))/(1-Inputs!$C$27))*Inputs!$C$27/Inputs!$C$28)*(1-Inputs!$C$32))/(Inputs!$C$8+(((Inputs!$D$7*(1+$B$8))*Inputs!$D$8)*C$5/Inputs!$C$7))/(Inputs!$C$9*(1+Inputs!$C$33)^1)-1</f>
        <v>0.0140967323862742</v>
      </c>
      <c r="D8" s="20" t="n">
        <f aca="false">((Inputs!$C$9*(1+Inputs!$C$33)^1)*Inputs!$C$8+Inputs!$D$9*(1+Inputs!$C$34)^1*Inputs!$D$8+(Inputs!$C$31*Inputs!$D$35-(((((Inputs!$D$7*(1+$B$8))*Inputs!$D$8)*(1-D$5))+(Inputs!$C$26*(((Inputs!$D$7*(1+$B$8))*Inputs!$D$8)+Inputs!$D$16))-MIN(MAX(Inputs!$C$11-Inputs!$C$25,0),(((Inputs!$D$7*(1+$B$8))*Inputs!$D$8)*(1-D$5))+(Inputs!$C$26*(((Inputs!$D$7*(1+$B$8))*Inputs!$D$8)+Inputs!$D$16))))/(1-Inputs!$C$27))*Inputs!$C$23-MIN(MAX(Inputs!$C$11-Inputs!$C$25,0),(((Inputs!$D$7*(1+$B$8))*Inputs!$D$8)*(1-D$5))+(Inputs!$C$26*(((Inputs!$D$7*(1+$B$8))*Inputs!$D$8)+Inputs!$D$16)))*Inputs!$C$24-(Inputs!$C$29*(((Inputs!$D$7*(1+$B$8))*Inputs!$D$8)-Inputs!$D$14))/Inputs!$C$30-(((((Inputs!$D$7*(1+$B$8))*Inputs!$D$8)*(1-D$5))+(Inputs!$C$26*(((Inputs!$D$7*(1+$B$8))*Inputs!$D$8)+Inputs!$D$16))-MIN(MAX(Inputs!$C$11-Inputs!$C$25,0),(((Inputs!$D$7*(1+$B$8))*Inputs!$D$8)*(1-D$5))+(Inputs!$C$26*(((Inputs!$D$7*(1+$B$8))*Inputs!$D$8)+Inputs!$D$16))))/(1-Inputs!$C$27))*Inputs!$C$27/Inputs!$C$28)*(1-Inputs!$C$32))/(Inputs!$C$8+(((Inputs!$D$7*(1+$B$8))*Inputs!$D$8)*D$5/Inputs!$C$7))/(Inputs!$C$9*(1+Inputs!$C$33)^1)-1</f>
        <v>0.0068692474327483</v>
      </c>
      <c r="E8" s="20" t="n">
        <f aca="false">((Inputs!$C$9*(1+Inputs!$C$33)^1)*Inputs!$C$8+Inputs!$D$9*(1+Inputs!$C$34)^1*Inputs!$D$8+(Inputs!$C$31*Inputs!$D$35-(((((Inputs!$D$7*(1+$B$8))*Inputs!$D$8)*(1-E$5))+(Inputs!$C$26*(((Inputs!$D$7*(1+$B$8))*Inputs!$D$8)+Inputs!$D$16))-MIN(MAX(Inputs!$C$11-Inputs!$C$25,0),(((Inputs!$D$7*(1+$B$8))*Inputs!$D$8)*(1-E$5))+(Inputs!$C$26*(((Inputs!$D$7*(1+$B$8))*Inputs!$D$8)+Inputs!$D$16))))/(1-Inputs!$C$27))*Inputs!$C$23-MIN(MAX(Inputs!$C$11-Inputs!$C$25,0),(((Inputs!$D$7*(1+$B$8))*Inputs!$D$8)*(1-E$5))+(Inputs!$C$26*(((Inputs!$D$7*(1+$B$8))*Inputs!$D$8)+Inputs!$D$16)))*Inputs!$C$24-(Inputs!$C$29*(((Inputs!$D$7*(1+$B$8))*Inputs!$D$8)-Inputs!$D$14))/Inputs!$C$30-(((((Inputs!$D$7*(1+$B$8))*Inputs!$D$8)*(1-E$5))+(Inputs!$C$26*(((Inputs!$D$7*(1+$B$8))*Inputs!$D$8)+Inputs!$D$16))-MIN(MAX(Inputs!$C$11-Inputs!$C$25,0),(((Inputs!$D$7*(1+$B$8))*Inputs!$D$8)*(1-E$5))+(Inputs!$C$26*(((Inputs!$D$7*(1+$B$8))*Inputs!$D$8)+Inputs!$D$16))))/(1-Inputs!$C$27))*Inputs!$C$27/Inputs!$C$28)*(1-Inputs!$C$32))/(Inputs!$C$8+(((Inputs!$D$7*(1+$B$8))*Inputs!$D$8)*E$5/Inputs!$C$7))/(Inputs!$C$9*(1+Inputs!$C$33)^1)-1</f>
        <v>0.000340700981636077</v>
      </c>
      <c r="F8" s="20" t="n">
        <f aca="false">((Inputs!$C$9*(1+Inputs!$C$33)^1)*Inputs!$C$8+Inputs!$D$9*(1+Inputs!$C$34)^1*Inputs!$D$8+(Inputs!$C$31*Inputs!$D$35-(((((Inputs!$D$7*(1+$B$8))*Inputs!$D$8)*(1-F$5))+(Inputs!$C$26*(((Inputs!$D$7*(1+$B$8))*Inputs!$D$8)+Inputs!$D$16))-MIN(MAX(Inputs!$C$11-Inputs!$C$25,0),(((Inputs!$D$7*(1+$B$8))*Inputs!$D$8)*(1-F$5))+(Inputs!$C$26*(((Inputs!$D$7*(1+$B$8))*Inputs!$D$8)+Inputs!$D$16))))/(1-Inputs!$C$27))*Inputs!$C$23-MIN(MAX(Inputs!$C$11-Inputs!$C$25,0),(((Inputs!$D$7*(1+$B$8))*Inputs!$D$8)*(1-F$5))+(Inputs!$C$26*(((Inputs!$D$7*(1+$B$8))*Inputs!$D$8)+Inputs!$D$16)))*Inputs!$C$24-(Inputs!$C$29*(((Inputs!$D$7*(1+$B$8))*Inputs!$D$8)-Inputs!$D$14))/Inputs!$C$30-(((((Inputs!$D$7*(1+$B$8))*Inputs!$D$8)*(1-F$5))+(Inputs!$C$26*(((Inputs!$D$7*(1+$B$8))*Inputs!$D$8)+Inputs!$D$16))-MIN(MAX(Inputs!$C$11-Inputs!$C$25,0),(((Inputs!$D$7*(1+$B$8))*Inputs!$D$8)*(1-F$5))+(Inputs!$C$26*(((Inputs!$D$7*(1+$B$8))*Inputs!$D$8)+Inputs!$D$16))))/(1-Inputs!$C$27))*Inputs!$C$27/Inputs!$C$28)*(1-Inputs!$C$32))/(Inputs!$C$8+(((Inputs!$D$7*(1+$B$8))*Inputs!$D$8)*F$5/Inputs!$C$7))/(Inputs!$C$9*(1+Inputs!$C$33)^1)-1</f>
        <v>-0.00558561766709331</v>
      </c>
      <c r="G8" s="20" t="n">
        <f aca="false">((Inputs!$C$9*(1+Inputs!$C$33)^1)*Inputs!$C$8+Inputs!$D$9*(1+Inputs!$C$34)^1*Inputs!$D$8+(Inputs!$C$31*Inputs!$D$35-(((((Inputs!$D$7*(1+$B$8))*Inputs!$D$8)*(1-G$5))+(Inputs!$C$26*(((Inputs!$D$7*(1+$B$8))*Inputs!$D$8)+Inputs!$D$16))-MIN(MAX(Inputs!$C$11-Inputs!$C$25,0),(((Inputs!$D$7*(1+$B$8))*Inputs!$D$8)*(1-G$5))+(Inputs!$C$26*(((Inputs!$D$7*(1+$B$8))*Inputs!$D$8)+Inputs!$D$16))))/(1-Inputs!$C$27))*Inputs!$C$23-MIN(MAX(Inputs!$C$11-Inputs!$C$25,0),(((Inputs!$D$7*(1+$B$8))*Inputs!$D$8)*(1-G$5))+(Inputs!$C$26*(((Inputs!$D$7*(1+$B$8))*Inputs!$D$8)+Inputs!$D$16)))*Inputs!$C$24-(Inputs!$C$29*(((Inputs!$D$7*(1+$B$8))*Inputs!$D$8)-Inputs!$D$14))/Inputs!$C$30-(((((Inputs!$D$7*(1+$B$8))*Inputs!$D$8)*(1-G$5))+(Inputs!$C$26*(((Inputs!$D$7*(1+$B$8))*Inputs!$D$8)+Inputs!$D$16))-MIN(MAX(Inputs!$C$11-Inputs!$C$25,0),(((Inputs!$D$7*(1+$B$8))*Inputs!$D$8)*(1-G$5))+(Inputs!$C$26*(((Inputs!$D$7*(1+$B$8))*Inputs!$D$8)+Inputs!$D$16))))/(1-Inputs!$C$27))*Inputs!$C$27/Inputs!$C$28)*(1-Inputs!$C$32))/(Inputs!$C$8+(((Inputs!$D$7*(1+$B$8))*Inputs!$D$8)*G$5/Inputs!$C$7))/(Inputs!$C$9*(1+Inputs!$C$33)^1)-1</f>
        <v>-0.0154607022717373</v>
      </c>
    </row>
    <row r="9" customFormat="false" ht="15" hidden="false" customHeight="false" outlineLevel="0" collapsed="false">
      <c r="B9" s="19" t="n">
        <v>0.375</v>
      </c>
      <c r="C9" s="20" t="n">
        <f aca="false">((Inputs!$C$9*(1+Inputs!$C$33)^1)*Inputs!$C$8+Inputs!$D$9*(1+Inputs!$C$34)^1*Inputs!$D$8+(Inputs!$C$31*Inputs!$D$35-(((((Inputs!$D$7*(1+$B$9))*Inputs!$D$8)*(1-C$5))+(Inputs!$C$26*(((Inputs!$D$7*(1+$B$9))*Inputs!$D$8)+Inputs!$D$16))-MIN(MAX(Inputs!$C$11-Inputs!$C$25,0),(((Inputs!$D$7*(1+$B$9))*Inputs!$D$8)*(1-C$5))+(Inputs!$C$26*(((Inputs!$D$7*(1+$B$9))*Inputs!$D$8)+Inputs!$D$16))))/(1-Inputs!$C$27))*Inputs!$C$23-MIN(MAX(Inputs!$C$11-Inputs!$C$25,0),(((Inputs!$D$7*(1+$B$9))*Inputs!$D$8)*(1-C$5))+(Inputs!$C$26*(((Inputs!$D$7*(1+$B$9))*Inputs!$D$8)+Inputs!$D$16)))*Inputs!$C$24-(Inputs!$C$29*(((Inputs!$D$7*(1+$B$9))*Inputs!$D$8)-Inputs!$D$14))/Inputs!$C$30-(((((Inputs!$D$7*(1+$B$9))*Inputs!$D$8)*(1-C$5))+(Inputs!$C$26*(((Inputs!$D$7*(1+$B$9))*Inputs!$D$8)+Inputs!$D$16))-MIN(MAX(Inputs!$C$11-Inputs!$C$25,0),(((Inputs!$D$7*(1+$B$9))*Inputs!$D$8)*(1-C$5))+(Inputs!$C$26*(((Inputs!$D$7*(1+$B$9))*Inputs!$D$8)+Inputs!$D$16))))/(1-Inputs!$C$27))*Inputs!$C$27/Inputs!$C$28)*(1-Inputs!$C$32))/(Inputs!$C$8+(((Inputs!$D$7*(1+$B$9))*Inputs!$D$8)*C$5/Inputs!$C$7))/(Inputs!$C$9*(1+Inputs!$C$33)^1)-1</f>
        <v>0.000399031748386403</v>
      </c>
      <c r="D9" s="20" t="n">
        <f aca="false">((Inputs!$C$9*(1+Inputs!$C$33)^1)*Inputs!$C$8+Inputs!$D$9*(1+Inputs!$C$34)^1*Inputs!$D$8+(Inputs!$C$31*Inputs!$D$35-(((((Inputs!$D$7*(1+$B$9))*Inputs!$D$8)*(1-D$5))+(Inputs!$C$26*(((Inputs!$D$7*(1+$B$9))*Inputs!$D$8)+Inputs!$D$16))-MIN(MAX(Inputs!$C$11-Inputs!$C$25,0),(((Inputs!$D$7*(1+$B$9))*Inputs!$D$8)*(1-D$5))+(Inputs!$C$26*(((Inputs!$D$7*(1+$B$9))*Inputs!$D$8)+Inputs!$D$16))))/(1-Inputs!$C$27))*Inputs!$C$23-MIN(MAX(Inputs!$C$11-Inputs!$C$25,0),(((Inputs!$D$7*(1+$B$9))*Inputs!$D$8)*(1-D$5))+(Inputs!$C$26*(((Inputs!$D$7*(1+$B$9))*Inputs!$D$8)+Inputs!$D$16)))*Inputs!$C$24-(Inputs!$C$29*(((Inputs!$D$7*(1+$B$9))*Inputs!$D$8)-Inputs!$D$14))/Inputs!$C$30-(((((Inputs!$D$7*(1+$B$9))*Inputs!$D$8)*(1-D$5))+(Inputs!$C$26*(((Inputs!$D$7*(1+$B$9))*Inputs!$D$8)+Inputs!$D$16))-MIN(MAX(Inputs!$C$11-Inputs!$C$25,0),(((Inputs!$D$7*(1+$B$9))*Inputs!$D$8)*(1-D$5))+(Inputs!$C$26*(((Inputs!$D$7*(1+$B$9))*Inputs!$D$8)+Inputs!$D$16))))/(1-Inputs!$C$27))*Inputs!$C$27/Inputs!$C$28)*(1-Inputs!$C$32))/(Inputs!$C$8+(((Inputs!$D$7*(1+$B$9))*Inputs!$D$8)*D$5/Inputs!$C$7))/(Inputs!$C$9*(1+Inputs!$C$33)^1)-1</f>
        <v>-0.00648910500718802</v>
      </c>
      <c r="E9" s="20" t="n">
        <f aca="false">((Inputs!$C$9*(1+Inputs!$C$33)^1)*Inputs!$C$8+Inputs!$D$9*(1+Inputs!$C$34)^1*Inputs!$D$8+(Inputs!$C$31*Inputs!$D$35-(((((Inputs!$D$7*(1+$B$9))*Inputs!$D$8)*(1-E$5))+(Inputs!$C$26*(((Inputs!$D$7*(1+$B$9))*Inputs!$D$8)+Inputs!$D$16))-MIN(MAX(Inputs!$C$11-Inputs!$C$25,0),(((Inputs!$D$7*(1+$B$9))*Inputs!$D$8)*(1-E$5))+(Inputs!$C$26*(((Inputs!$D$7*(1+$B$9))*Inputs!$D$8)+Inputs!$D$16))))/(1-Inputs!$C$27))*Inputs!$C$23-MIN(MAX(Inputs!$C$11-Inputs!$C$25,0),(((Inputs!$D$7*(1+$B$9))*Inputs!$D$8)*(1-E$5))+(Inputs!$C$26*(((Inputs!$D$7*(1+$B$9))*Inputs!$D$8)+Inputs!$D$16)))*Inputs!$C$24-(Inputs!$C$29*(((Inputs!$D$7*(1+$B$9))*Inputs!$D$8)-Inputs!$D$14))/Inputs!$C$30-(((((Inputs!$D$7*(1+$B$9))*Inputs!$D$8)*(1-E$5))+(Inputs!$C$26*(((Inputs!$D$7*(1+$B$9))*Inputs!$D$8)+Inputs!$D$16))-MIN(MAX(Inputs!$C$11-Inputs!$C$25,0),(((Inputs!$D$7*(1+$B$9))*Inputs!$D$8)*(1-E$5))+(Inputs!$C$26*(((Inputs!$D$7*(1+$B$9))*Inputs!$D$8)+Inputs!$D$16))))/(1-Inputs!$C$27))*Inputs!$C$27/Inputs!$C$28)*(1-Inputs!$C$32))/(Inputs!$C$8+(((Inputs!$D$7*(1+$B$9))*Inputs!$D$8)*E$5/Inputs!$C$7))/(Inputs!$C$9*(1+Inputs!$C$33)^1)-1</f>
        <v>-0.0126765990544674</v>
      </c>
      <c r="F9" s="20" t="n">
        <f aca="false">((Inputs!$C$9*(1+Inputs!$C$33)^1)*Inputs!$C$8+Inputs!$D$9*(1+Inputs!$C$34)^1*Inputs!$D$8+(Inputs!$C$31*Inputs!$D$35-(((((Inputs!$D$7*(1+$B$9))*Inputs!$D$8)*(1-F$5))+(Inputs!$C$26*(((Inputs!$D$7*(1+$B$9))*Inputs!$D$8)+Inputs!$D$16))-MIN(MAX(Inputs!$C$11-Inputs!$C$25,0),(((Inputs!$D$7*(1+$B$9))*Inputs!$D$8)*(1-F$5))+(Inputs!$C$26*(((Inputs!$D$7*(1+$B$9))*Inputs!$D$8)+Inputs!$D$16))))/(1-Inputs!$C$27))*Inputs!$C$23-MIN(MAX(Inputs!$C$11-Inputs!$C$25,0),(((Inputs!$D$7*(1+$B$9))*Inputs!$D$8)*(1-F$5))+(Inputs!$C$26*(((Inputs!$D$7*(1+$B$9))*Inputs!$D$8)+Inputs!$D$16)))*Inputs!$C$24-(Inputs!$C$29*(((Inputs!$D$7*(1+$B$9))*Inputs!$D$8)-Inputs!$D$14))/Inputs!$C$30-(((((Inputs!$D$7*(1+$B$9))*Inputs!$D$8)*(1-F$5))+(Inputs!$C$26*(((Inputs!$D$7*(1+$B$9))*Inputs!$D$8)+Inputs!$D$16))-MIN(MAX(Inputs!$C$11-Inputs!$C$25,0),(((Inputs!$D$7*(1+$B$9))*Inputs!$D$8)*(1-F$5))+(Inputs!$C$26*(((Inputs!$D$7*(1+$B$9))*Inputs!$D$8)+Inputs!$D$16))))/(1-Inputs!$C$27))*Inputs!$C$27/Inputs!$C$28)*(1-Inputs!$C$32))/(Inputs!$C$8+(((Inputs!$D$7*(1+$B$9))*Inputs!$D$8)*F$5/Inputs!$C$7))/(Inputs!$C$9*(1+Inputs!$C$33)^1)-1</f>
        <v>-0.0182651779016957</v>
      </c>
      <c r="G9" s="20" t="n">
        <f aca="false">((Inputs!$C$9*(1+Inputs!$C$33)^1)*Inputs!$C$8+Inputs!$D$9*(1+Inputs!$C$34)^1*Inputs!$D$8+(Inputs!$C$31*Inputs!$D$35-(((((Inputs!$D$7*(1+$B$9))*Inputs!$D$8)*(1-G$5))+(Inputs!$C$26*(((Inputs!$D$7*(1+$B$9))*Inputs!$D$8)+Inputs!$D$16))-MIN(MAX(Inputs!$C$11-Inputs!$C$25,0),(((Inputs!$D$7*(1+$B$9))*Inputs!$D$8)*(1-G$5))+(Inputs!$C$26*(((Inputs!$D$7*(1+$B$9))*Inputs!$D$8)+Inputs!$D$16))))/(1-Inputs!$C$27))*Inputs!$C$23-MIN(MAX(Inputs!$C$11-Inputs!$C$25,0),(((Inputs!$D$7*(1+$B$9))*Inputs!$D$8)*(1-G$5))+(Inputs!$C$26*(((Inputs!$D$7*(1+$B$9))*Inputs!$D$8)+Inputs!$D$16)))*Inputs!$C$24-(Inputs!$C$29*(((Inputs!$D$7*(1+$B$9))*Inputs!$D$8)-Inputs!$D$14))/Inputs!$C$30-(((((Inputs!$D$7*(1+$B$9))*Inputs!$D$8)*(1-G$5))+(Inputs!$C$26*(((Inputs!$D$7*(1+$B$9))*Inputs!$D$8)+Inputs!$D$16))-MIN(MAX(Inputs!$C$11-Inputs!$C$25,0),(((Inputs!$D$7*(1+$B$9))*Inputs!$D$8)*(1-G$5))+(Inputs!$C$26*(((Inputs!$D$7*(1+$B$9))*Inputs!$D$8)+Inputs!$D$16))))/(1-Inputs!$C$27))*Inputs!$C$27/Inputs!$C$28)*(1-Inputs!$C$32))/(Inputs!$C$8+(((Inputs!$D$7*(1+$B$9))*Inputs!$D$8)*G$5/Inputs!$C$7))/(Inputs!$C$9*(1+Inputs!$C$33)^1)-1</f>
        <v>-0.0277244291932326</v>
      </c>
    </row>
    <row r="10" customFormat="false" ht="15" hidden="false" customHeight="false" outlineLevel="0" collapsed="false">
      <c r="B10" s="19" t="n">
        <v>0.45</v>
      </c>
      <c r="C10" s="20" t="n">
        <f aca="false">((Inputs!$C$9*(1+Inputs!$C$33)^1)*Inputs!$C$8+Inputs!$D$9*(1+Inputs!$C$34)^1*Inputs!$D$8+(Inputs!$C$31*Inputs!$D$35-(((((Inputs!$D$7*(1+$B$10))*Inputs!$D$8)*(1-C$5))+(Inputs!$C$26*(((Inputs!$D$7*(1+$B$10))*Inputs!$D$8)+Inputs!$D$16))-MIN(MAX(Inputs!$C$11-Inputs!$C$25,0),(((Inputs!$D$7*(1+$B$10))*Inputs!$D$8)*(1-C$5))+(Inputs!$C$26*(((Inputs!$D$7*(1+$B$10))*Inputs!$D$8)+Inputs!$D$16))))/(1-Inputs!$C$27))*Inputs!$C$23-MIN(MAX(Inputs!$C$11-Inputs!$C$25,0),(((Inputs!$D$7*(1+$B$10))*Inputs!$D$8)*(1-C$5))+(Inputs!$C$26*(((Inputs!$D$7*(1+$B$10))*Inputs!$D$8)+Inputs!$D$16)))*Inputs!$C$24-(Inputs!$C$29*(((Inputs!$D$7*(1+$B$10))*Inputs!$D$8)-Inputs!$D$14))/Inputs!$C$30-(((((Inputs!$D$7*(1+$B$10))*Inputs!$D$8)*(1-C$5))+(Inputs!$C$26*(((Inputs!$D$7*(1+$B$10))*Inputs!$D$8)+Inputs!$D$16))-MIN(MAX(Inputs!$C$11-Inputs!$C$25,0),(((Inputs!$D$7*(1+$B$10))*Inputs!$D$8)*(1-C$5))+(Inputs!$C$26*(((Inputs!$D$7*(1+$B$10))*Inputs!$D$8)+Inputs!$D$16))))/(1-Inputs!$C$27))*Inputs!$C$27/Inputs!$C$28)*(1-Inputs!$C$32))/(Inputs!$C$8+(((Inputs!$D$7*(1+$B$10))*Inputs!$D$8)*C$5/Inputs!$C$7))/(Inputs!$C$9*(1+Inputs!$C$33)^1)-1</f>
        <v>-0.013298668889501</v>
      </c>
      <c r="D10" s="20" t="n">
        <f aca="false">((Inputs!$C$9*(1+Inputs!$C$33)^1)*Inputs!$C$8+Inputs!$D$9*(1+Inputs!$C$34)^1*Inputs!$D$8+(Inputs!$C$31*Inputs!$D$35-(((((Inputs!$D$7*(1+$B$10))*Inputs!$D$8)*(1-D$5))+(Inputs!$C$26*(((Inputs!$D$7*(1+$B$10))*Inputs!$D$8)+Inputs!$D$16))-MIN(MAX(Inputs!$C$11-Inputs!$C$25,0),(((Inputs!$D$7*(1+$B$10))*Inputs!$D$8)*(1-D$5))+(Inputs!$C$26*(((Inputs!$D$7*(1+$B$10))*Inputs!$D$8)+Inputs!$D$16))))/(1-Inputs!$C$27))*Inputs!$C$23-MIN(MAX(Inputs!$C$11-Inputs!$C$25,0),(((Inputs!$D$7*(1+$B$10))*Inputs!$D$8)*(1-D$5))+(Inputs!$C$26*(((Inputs!$D$7*(1+$B$10))*Inputs!$D$8)+Inputs!$D$16)))*Inputs!$C$24-(Inputs!$C$29*(((Inputs!$D$7*(1+$B$10))*Inputs!$D$8)-Inputs!$D$14))/Inputs!$C$30-(((((Inputs!$D$7*(1+$B$10))*Inputs!$D$8)*(1-D$5))+(Inputs!$C$26*(((Inputs!$D$7*(1+$B$10))*Inputs!$D$8)+Inputs!$D$16))-MIN(MAX(Inputs!$C$11-Inputs!$C$25,0),(((Inputs!$D$7*(1+$B$10))*Inputs!$D$8)*(1-D$5))+(Inputs!$C$26*(((Inputs!$D$7*(1+$B$10))*Inputs!$D$8)+Inputs!$D$16))))/(1-Inputs!$C$27))*Inputs!$C$27/Inputs!$C$28)*(1-Inputs!$C$32))/(Inputs!$C$8+(((Inputs!$D$7*(1+$B$10))*Inputs!$D$8)*D$5/Inputs!$C$7))/(Inputs!$C$9*(1+Inputs!$C$33)^1)-1</f>
        <v>-0.0197695986069246</v>
      </c>
      <c r="E10" s="20" t="n">
        <f aca="false">((Inputs!$C$9*(1+Inputs!$C$33)^1)*Inputs!$C$8+Inputs!$D$9*(1+Inputs!$C$34)^1*Inputs!$D$8+(Inputs!$C$31*Inputs!$D$35-(((((Inputs!$D$7*(1+$B$10))*Inputs!$D$8)*(1-E$5))+(Inputs!$C$26*(((Inputs!$D$7*(1+$B$10))*Inputs!$D$8)+Inputs!$D$16))-MIN(MAX(Inputs!$C$11-Inputs!$C$25,0),(((Inputs!$D$7*(1+$B$10))*Inputs!$D$8)*(1-E$5))+(Inputs!$C$26*(((Inputs!$D$7*(1+$B$10))*Inputs!$D$8)+Inputs!$D$16))))/(1-Inputs!$C$27))*Inputs!$C$23-MIN(MAX(Inputs!$C$11-Inputs!$C$25,0),(((Inputs!$D$7*(1+$B$10))*Inputs!$D$8)*(1-E$5))+(Inputs!$C$26*(((Inputs!$D$7*(1+$B$10))*Inputs!$D$8)+Inputs!$D$16)))*Inputs!$C$24-(Inputs!$C$29*(((Inputs!$D$7*(1+$B$10))*Inputs!$D$8)-Inputs!$D$14))/Inputs!$C$30-(((((Inputs!$D$7*(1+$B$10))*Inputs!$D$8)*(1-E$5))+(Inputs!$C$26*(((Inputs!$D$7*(1+$B$10))*Inputs!$D$8)+Inputs!$D$16))-MIN(MAX(Inputs!$C$11-Inputs!$C$25,0),(((Inputs!$D$7*(1+$B$10))*Inputs!$D$8)*(1-E$5))+(Inputs!$C$26*(((Inputs!$D$7*(1+$B$10))*Inputs!$D$8)+Inputs!$D$16))))/(1-Inputs!$C$27))*Inputs!$C$27/Inputs!$C$28)*(1-Inputs!$C$32))/(Inputs!$C$8+(((Inputs!$D$7*(1+$B$10))*Inputs!$D$8)*E$5/Inputs!$C$7))/(Inputs!$C$9*(1+Inputs!$C$33)^1)-1</f>
        <v>-0.0255502504827102</v>
      </c>
      <c r="F10" s="20" t="n">
        <f aca="false">((Inputs!$C$9*(1+Inputs!$C$33)^1)*Inputs!$C$8+Inputs!$D$9*(1+Inputs!$C$34)^1*Inputs!$D$8+(Inputs!$C$31*Inputs!$D$35-(((((Inputs!$D$7*(1+$B$10))*Inputs!$D$8)*(1-F$5))+(Inputs!$C$26*(((Inputs!$D$7*(1+$B$10))*Inputs!$D$8)+Inputs!$D$16))-MIN(MAX(Inputs!$C$11-Inputs!$C$25,0),(((Inputs!$D$7*(1+$B$10))*Inputs!$D$8)*(1-F$5))+(Inputs!$C$26*(((Inputs!$D$7*(1+$B$10))*Inputs!$D$8)+Inputs!$D$16))))/(1-Inputs!$C$27))*Inputs!$C$23-MIN(MAX(Inputs!$C$11-Inputs!$C$25,0),(((Inputs!$D$7*(1+$B$10))*Inputs!$D$8)*(1-F$5))+(Inputs!$C$26*(((Inputs!$D$7*(1+$B$10))*Inputs!$D$8)+Inputs!$D$16)))*Inputs!$C$24-(Inputs!$C$29*(((Inputs!$D$7*(1+$B$10))*Inputs!$D$8)-Inputs!$D$14))/Inputs!$C$30-(((((Inputs!$D$7*(1+$B$10))*Inputs!$D$8)*(1-F$5))+(Inputs!$C$26*(((Inputs!$D$7*(1+$B$10))*Inputs!$D$8)+Inputs!$D$16))-MIN(MAX(Inputs!$C$11-Inputs!$C$25,0),(((Inputs!$D$7*(1+$B$10))*Inputs!$D$8)*(1-F$5))+(Inputs!$C$26*(((Inputs!$D$7*(1+$B$10))*Inputs!$D$8)+Inputs!$D$16))))/(1-Inputs!$C$27))*Inputs!$C$27/Inputs!$C$28)*(1-Inputs!$C$32))/(Inputs!$C$8+(((Inputs!$D$7*(1+$B$10))*Inputs!$D$8)*F$5/Inputs!$C$7))/(Inputs!$C$9*(1+Inputs!$C$33)^1)-1</f>
        <v>-0.0307454833857922</v>
      </c>
      <c r="G10" s="20" t="n">
        <f aca="false">((Inputs!$C$9*(1+Inputs!$C$33)^1)*Inputs!$C$8+Inputs!$D$9*(1+Inputs!$C$34)^1*Inputs!$D$8+(Inputs!$C$31*Inputs!$D$35-(((((Inputs!$D$7*(1+$B$10))*Inputs!$D$8)*(1-G$5))+(Inputs!$C$26*(((Inputs!$D$7*(1+$B$10))*Inputs!$D$8)+Inputs!$D$16))-MIN(MAX(Inputs!$C$11-Inputs!$C$25,0),(((Inputs!$D$7*(1+$B$10))*Inputs!$D$8)*(1-G$5))+(Inputs!$C$26*(((Inputs!$D$7*(1+$B$10))*Inputs!$D$8)+Inputs!$D$16))))/(1-Inputs!$C$27))*Inputs!$C$23-MIN(MAX(Inputs!$C$11-Inputs!$C$25,0),(((Inputs!$D$7*(1+$B$10))*Inputs!$D$8)*(1-G$5))+(Inputs!$C$26*(((Inputs!$D$7*(1+$B$10))*Inputs!$D$8)+Inputs!$D$16)))*Inputs!$C$24-(Inputs!$C$29*(((Inputs!$D$7*(1+$B$10))*Inputs!$D$8)-Inputs!$D$14))/Inputs!$C$30-(((((Inputs!$D$7*(1+$B$10))*Inputs!$D$8)*(1-G$5))+(Inputs!$C$26*(((Inputs!$D$7*(1+$B$10))*Inputs!$D$8)+Inputs!$D$16))-MIN(MAX(Inputs!$C$11-Inputs!$C$25,0),(((Inputs!$D$7*(1+$B$10))*Inputs!$D$8)*(1-G$5))+(Inputs!$C$26*(((Inputs!$D$7*(1+$B$10))*Inputs!$D$8)+Inputs!$D$16))))/(1-Inputs!$C$27))*Inputs!$C$27/Inputs!$C$28)*(1-Inputs!$C$32))/(Inputs!$C$8+(((Inputs!$D$7*(1+$B$10))*Inputs!$D$8)*G$5/Inputs!$C$7))/(Inputs!$C$9*(1+Inputs!$C$33)^1)-1</f>
        <v>-0.0397435803641564</v>
      </c>
    </row>
    <row r="12" customFormat="false" ht="15" hidden="false" customHeight="false" outlineLevel="0" collapsed="false">
      <c r="B12" s="9" t="s">
        <v>94</v>
      </c>
    </row>
    <row r="13" customFormat="false" ht="15" hidden="false" customHeight="false" outlineLevel="0" collapsed="false">
      <c r="B13" s="2" t="s">
        <v>93</v>
      </c>
      <c r="C13" s="19" t="n">
        <v>0</v>
      </c>
      <c r="D13" s="19" t="n">
        <v>0.25</v>
      </c>
      <c r="E13" s="19" t="n">
        <v>0.5</v>
      </c>
      <c r="F13" s="19" t="n">
        <v>0.75</v>
      </c>
      <c r="G13" s="19" t="n">
        <v>1</v>
      </c>
    </row>
    <row r="14" customFormat="false" ht="15" hidden="false" customHeight="false" outlineLevel="0" collapsed="false">
      <c r="B14" s="21" t="n">
        <v>0</v>
      </c>
      <c r="C14" s="20" t="n">
        <f aca="false">((Inputs!$C$9*(1+Inputs!$C$33)^1)*Inputs!$C$8+Inputs!$D$9*(1+Inputs!$C$34)^1*Inputs!$D$8+($B$14*Inputs!$D$35-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$23-MIN(MAX(Inputs!$C$11-Inputs!$C$25,0),(((Inputs!$D$7*(1+Inputs!$C$21))*Inputs!$D$8)*(1-C$13))+(Inputs!$C$26*(((Inputs!$D$7*(1+Inputs!$C$21))*Inputs!$D$8)+Inputs!$D$16)))*Inputs!$C$24-(Inputs!$C$29*(((Inputs!$D$7*(1+Inputs!$C$21))*Inputs!$D$8)-Inputs!$D$14))/Inputs!$C$30-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$27/Inputs!$C$28)*(1-Inputs!$C$32))/(Inputs!$C$8+(((Inputs!$D$7*(1+Inputs!$C$21))*Inputs!$D$8)*C$13/Inputs!$C$7))/(Inputs!$C$9*(1+Inputs!$C$33)^1)-1</f>
        <v>-0.0392089097044149</v>
      </c>
      <c r="D14" s="20" t="n">
        <f aca="false">((Inputs!$C$9*(1+Inputs!$C$33)^1)*Inputs!$C$8+Inputs!$D$9*(1+Inputs!$C$34)^1*Inputs!$D$8+($B$14*Inputs!$D$35-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$23-MIN(MAX(Inputs!$C$11-Inputs!$C$25,0),(((Inputs!$D$7*(1+Inputs!$C$21))*Inputs!$D$8)*(1-D$13))+(Inputs!$C$26*(((Inputs!$D$7*(1+Inputs!$C$21))*Inputs!$D$8)+Inputs!$D$16)))*Inputs!$C$24-(Inputs!$C$29*(((Inputs!$D$7*(1+Inputs!$C$21))*Inputs!$D$8)-Inputs!$D$14))/Inputs!$C$30-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$27/Inputs!$C$28)*(1-Inputs!$C$32))/(Inputs!$C$8+(((Inputs!$D$7*(1+Inputs!$C$21))*Inputs!$D$8)*D$13/Inputs!$C$7))/(Inputs!$C$9*(1+Inputs!$C$33)^1)-1</f>
        <v>-0.0437279561150858</v>
      </c>
      <c r="E14" s="20" t="n">
        <f aca="false">((Inputs!$C$9*(1+Inputs!$C$33)^1)*Inputs!$C$8+Inputs!$D$9*(1+Inputs!$C$34)^1*Inputs!$D$8+($B$14*Inputs!$D$35-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$23-MIN(MAX(Inputs!$C$11-Inputs!$C$25,0),(((Inputs!$D$7*(1+Inputs!$C$21))*Inputs!$D$8)*(1-E$13))+(Inputs!$C$26*(((Inputs!$D$7*(1+Inputs!$C$21))*Inputs!$D$8)+Inputs!$D$16)))*Inputs!$C$24-(Inputs!$C$29*(((Inputs!$D$7*(1+Inputs!$C$21))*Inputs!$D$8)-Inputs!$D$14))/Inputs!$C$30-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$27/Inputs!$C$28)*(1-Inputs!$C$32))/(Inputs!$C$8+(((Inputs!$D$7*(1+Inputs!$C$21))*Inputs!$D$8)*E$13/Inputs!$C$7))/(Inputs!$C$9*(1+Inputs!$C$33)^1)-1</f>
        <v>-0.0478099852851924</v>
      </c>
      <c r="F14" s="20" t="n">
        <f aca="false">((Inputs!$C$9*(1+Inputs!$C$33)^1)*Inputs!$C$8+Inputs!$D$9*(1+Inputs!$C$34)^1*Inputs!$D$8+($B$14*Inputs!$D$35-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$23-MIN(MAX(Inputs!$C$11-Inputs!$C$25,0),(((Inputs!$D$7*(1+Inputs!$C$21))*Inputs!$D$8)*(1-F$13))+(Inputs!$C$26*(((Inputs!$D$7*(1+Inputs!$C$21))*Inputs!$D$8)+Inputs!$D$16)))*Inputs!$C$24-(Inputs!$C$29*(((Inputs!$D$7*(1+Inputs!$C$21))*Inputs!$D$8)-Inputs!$D$14))/Inputs!$C$30-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$27/Inputs!$C$28)*(1-Inputs!$C$32))/(Inputs!$C$8+(((Inputs!$D$7*(1+Inputs!$C$21))*Inputs!$D$8)*F$13/Inputs!$C$7))/(Inputs!$C$9*(1+Inputs!$C$33)^1)-1</f>
        <v>-0.0515154664021013</v>
      </c>
      <c r="G14" s="20" t="n">
        <f aca="false">((Inputs!$C$9*(1+Inputs!$C$33)^1)*Inputs!$C$8+Inputs!$D$9*(1+Inputs!$C$34)^1*Inputs!$D$8+($B$14*Inputs!$D$35-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$23-MIN(MAX(Inputs!$C$11-Inputs!$C$25,0),(((Inputs!$D$7*(1+Inputs!$C$21))*Inputs!$D$8)*(1-G$13))+(Inputs!$C$26*(((Inputs!$D$7*(1+Inputs!$C$21))*Inputs!$D$8)+Inputs!$D$16)))*Inputs!$C$24-(Inputs!$C$29*(((Inputs!$D$7*(1+Inputs!$C$21))*Inputs!$D$8)-Inputs!$D$14))/Inputs!$C$30-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$27/Inputs!$C$28)*(1-Inputs!$C$32))/(Inputs!$C$8+(((Inputs!$D$7*(1+Inputs!$C$21))*Inputs!$D$8)*G$13/Inputs!$C$7))/(Inputs!$C$9*(1+Inputs!$C$33)^1)-1</f>
        <v>-0.0593655431410062</v>
      </c>
    </row>
    <row r="15" customFormat="false" ht="15" hidden="false" customHeight="false" outlineLevel="0" collapsed="false">
      <c r="B15" s="21" t="n">
        <v>250</v>
      </c>
      <c r="C15" s="20" t="n">
        <f aca="false">((Inputs!$C$9*(1+Inputs!$C$33)^1)*Inputs!$C$8+Inputs!$D$9*(1+Inputs!$C$34)^1*Inputs!$D$8+($B$15*Inputs!$D$35-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$23-MIN(MAX(Inputs!$C$11-Inputs!$C$25,0),(((Inputs!$D$7*(1+Inputs!$C$21))*Inputs!$D$8)*(1-C$13))+(Inputs!$C$26*(((Inputs!$D$7*(1+Inputs!$C$21))*Inputs!$D$8)+Inputs!$D$16)))*Inputs!$C$24-(Inputs!$C$29*(((Inputs!$D$7*(1+Inputs!$C$21))*Inputs!$D$8)-Inputs!$D$14))/Inputs!$C$30-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$27/Inputs!$C$28)*(1-Inputs!$C$32))/(Inputs!$C$8+(((Inputs!$D$7*(1+Inputs!$C$21))*Inputs!$D$8)*C$13/Inputs!$C$7))/(Inputs!$C$9*(1+Inputs!$C$33)^1)-1</f>
        <v>-0.0125560886590704</v>
      </c>
      <c r="D15" s="20" t="n">
        <f aca="false">((Inputs!$C$9*(1+Inputs!$C$33)^1)*Inputs!$C$8+Inputs!$D$9*(1+Inputs!$C$34)^1*Inputs!$D$8+($B$15*Inputs!$D$35-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$23-MIN(MAX(Inputs!$C$11-Inputs!$C$25,0),(((Inputs!$D$7*(1+Inputs!$C$21))*Inputs!$D$8)*(1-D$13))+(Inputs!$C$26*(((Inputs!$D$7*(1+Inputs!$C$21))*Inputs!$D$8)+Inputs!$D$16)))*Inputs!$C$24-(Inputs!$C$29*(((Inputs!$D$7*(1+Inputs!$C$21))*Inputs!$D$8)-Inputs!$D$14))/Inputs!$C$30-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$27/Inputs!$C$28)*(1-Inputs!$C$32))/(Inputs!$C$8+(((Inputs!$D$7*(1+Inputs!$C$21))*Inputs!$D$8)*D$13/Inputs!$C$7))/(Inputs!$C$9*(1+Inputs!$C$33)^1)-1</f>
        <v>-0.0184293543411688</v>
      </c>
      <c r="E15" s="20" t="n">
        <f aca="false">((Inputs!$C$9*(1+Inputs!$C$33)^1)*Inputs!$C$8+Inputs!$D$9*(1+Inputs!$C$34)^1*Inputs!$D$8+($B$15*Inputs!$D$35-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$23-MIN(MAX(Inputs!$C$11-Inputs!$C$25,0),(((Inputs!$D$7*(1+Inputs!$C$21))*Inputs!$D$8)*(1-E$13))+(Inputs!$C$26*(((Inputs!$D$7*(1+Inputs!$C$21))*Inputs!$D$8)+Inputs!$D$16)))*Inputs!$C$24-(Inputs!$C$29*(((Inputs!$D$7*(1+Inputs!$C$21))*Inputs!$D$8)-Inputs!$D$14))/Inputs!$C$30-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$27/Inputs!$C$28)*(1-Inputs!$C$32))/(Inputs!$C$8+(((Inputs!$D$7*(1+Inputs!$C$21))*Inputs!$D$8)*E$13/Inputs!$C$7))/(Inputs!$C$9*(1+Inputs!$C$33)^1)-1</f>
        <v>-0.0237346421517782</v>
      </c>
      <c r="F15" s="20" t="n">
        <f aca="false">((Inputs!$C$9*(1+Inputs!$C$33)^1)*Inputs!$C$8+Inputs!$D$9*(1+Inputs!$C$34)^1*Inputs!$D$8+($B$15*Inputs!$D$35-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$23-MIN(MAX(Inputs!$C$11-Inputs!$C$25,0),(((Inputs!$D$7*(1+Inputs!$C$21))*Inputs!$D$8)*(1-F$13))+(Inputs!$C$26*(((Inputs!$D$7*(1+Inputs!$C$21))*Inputs!$D$8)+Inputs!$D$16)))*Inputs!$C$24-(Inputs!$C$29*(((Inputs!$D$7*(1+Inputs!$C$21))*Inputs!$D$8)-Inputs!$D$14))/Inputs!$C$30-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$27/Inputs!$C$28)*(1-Inputs!$C$32))/(Inputs!$C$8+(((Inputs!$D$7*(1+Inputs!$C$21))*Inputs!$D$8)*F$13/Inputs!$C$7))/(Inputs!$C$9*(1+Inputs!$C$33)^1)-1</f>
        <v>-0.0285505420345974</v>
      </c>
      <c r="G15" s="20" t="n">
        <f aca="false">((Inputs!$C$9*(1+Inputs!$C$33)^1)*Inputs!$C$8+Inputs!$D$9*(1+Inputs!$C$34)^1*Inputs!$D$8+($B$15*Inputs!$D$35-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$23-MIN(MAX(Inputs!$C$11-Inputs!$C$25,0),(((Inputs!$D$7*(1+Inputs!$C$21))*Inputs!$D$8)*(1-G$13))+(Inputs!$C$26*(((Inputs!$D$7*(1+Inputs!$C$21))*Inputs!$D$8)+Inputs!$D$16)))*Inputs!$C$24-(Inputs!$C$29*(((Inputs!$D$7*(1+Inputs!$C$21))*Inputs!$D$8)-Inputs!$D$14))/Inputs!$C$30-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$27/Inputs!$C$28)*(1-Inputs!$C$32))/(Inputs!$C$8+(((Inputs!$D$7*(1+Inputs!$C$21))*Inputs!$D$8)*G$13/Inputs!$C$7))/(Inputs!$C$9*(1+Inputs!$C$33)^1)-1</f>
        <v>-0.0374131227063718</v>
      </c>
    </row>
    <row r="16" customFormat="false" ht="15" hidden="false" customHeight="false" outlineLevel="0" collapsed="false">
      <c r="B16" s="21" t="n">
        <v>500</v>
      </c>
      <c r="C16" s="20" t="n">
        <f aca="false">((Inputs!$C$9*(1+Inputs!$C$33)^1)*Inputs!$C$8+Inputs!$D$9*(1+Inputs!$C$34)^1*Inputs!$D$8+($B$16*Inputs!$D$35-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$23-MIN(MAX(Inputs!$C$11-Inputs!$C$25,0),(((Inputs!$D$7*(1+Inputs!$C$21))*Inputs!$D$8)*(1-C$13))+(Inputs!$C$26*(((Inputs!$D$7*(1+Inputs!$C$21))*Inputs!$D$8)+Inputs!$D$16)))*Inputs!$C$24-(Inputs!$C$29*(((Inputs!$D$7*(1+Inputs!$C$21))*Inputs!$D$8)-Inputs!$D$14))/Inputs!$C$30-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$27/Inputs!$C$28)*(1-Inputs!$C$32))/(Inputs!$C$8+(((Inputs!$D$7*(1+Inputs!$C$21))*Inputs!$D$8)*C$13/Inputs!$C$7))/(Inputs!$C$9*(1+Inputs!$C$33)^1)-1</f>
        <v>0.0140967323862742</v>
      </c>
      <c r="D16" s="20" t="n">
        <f aca="false">((Inputs!$C$9*(1+Inputs!$C$33)^1)*Inputs!$C$8+Inputs!$D$9*(1+Inputs!$C$34)^1*Inputs!$D$8+($B$16*Inputs!$D$35-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$23-MIN(MAX(Inputs!$C$11-Inputs!$C$25,0),(((Inputs!$D$7*(1+Inputs!$C$21))*Inputs!$D$8)*(1-D$13))+(Inputs!$C$26*(((Inputs!$D$7*(1+Inputs!$C$21))*Inputs!$D$8)+Inputs!$D$16)))*Inputs!$C$24-(Inputs!$C$29*(((Inputs!$D$7*(1+Inputs!$C$21))*Inputs!$D$8)-Inputs!$D$14))/Inputs!$C$30-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$27/Inputs!$C$28)*(1-Inputs!$C$32))/(Inputs!$C$8+(((Inputs!$D$7*(1+Inputs!$C$21))*Inputs!$D$8)*D$13/Inputs!$C$7))/(Inputs!$C$9*(1+Inputs!$C$33)^1)-1</f>
        <v>0.0068692474327483</v>
      </c>
      <c r="E16" s="20" t="n">
        <f aca="false">((Inputs!$C$9*(1+Inputs!$C$33)^1)*Inputs!$C$8+Inputs!$D$9*(1+Inputs!$C$34)^1*Inputs!$D$8+($B$16*Inputs!$D$35-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$23-MIN(MAX(Inputs!$C$11-Inputs!$C$25,0),(((Inputs!$D$7*(1+Inputs!$C$21))*Inputs!$D$8)*(1-E$13))+(Inputs!$C$26*(((Inputs!$D$7*(1+Inputs!$C$21))*Inputs!$D$8)+Inputs!$D$16)))*Inputs!$C$24-(Inputs!$C$29*(((Inputs!$D$7*(1+Inputs!$C$21))*Inputs!$D$8)-Inputs!$D$14))/Inputs!$C$30-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$27/Inputs!$C$28)*(1-Inputs!$C$32))/(Inputs!$C$8+(((Inputs!$D$7*(1+Inputs!$C$21))*Inputs!$D$8)*E$13/Inputs!$C$7))/(Inputs!$C$9*(1+Inputs!$C$33)^1)-1</f>
        <v>0.000340700981636077</v>
      </c>
      <c r="F16" s="20" t="n">
        <f aca="false">((Inputs!$C$9*(1+Inputs!$C$33)^1)*Inputs!$C$8+Inputs!$D$9*(1+Inputs!$C$34)^1*Inputs!$D$8+($B$16*Inputs!$D$35-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$23-MIN(MAX(Inputs!$C$11-Inputs!$C$25,0),(((Inputs!$D$7*(1+Inputs!$C$21))*Inputs!$D$8)*(1-F$13))+(Inputs!$C$26*(((Inputs!$D$7*(1+Inputs!$C$21))*Inputs!$D$8)+Inputs!$D$16)))*Inputs!$C$24-(Inputs!$C$29*(((Inputs!$D$7*(1+Inputs!$C$21))*Inputs!$D$8)-Inputs!$D$14))/Inputs!$C$30-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$27/Inputs!$C$28)*(1-Inputs!$C$32))/(Inputs!$C$8+(((Inputs!$D$7*(1+Inputs!$C$21))*Inputs!$D$8)*F$13/Inputs!$C$7))/(Inputs!$C$9*(1+Inputs!$C$33)^1)-1</f>
        <v>-0.00558561766709331</v>
      </c>
      <c r="G16" s="20" t="n">
        <f aca="false">((Inputs!$C$9*(1+Inputs!$C$33)^1)*Inputs!$C$8+Inputs!$D$9*(1+Inputs!$C$34)^1*Inputs!$D$8+($B$16*Inputs!$D$35-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$23-MIN(MAX(Inputs!$C$11-Inputs!$C$25,0),(((Inputs!$D$7*(1+Inputs!$C$21))*Inputs!$D$8)*(1-G$13))+(Inputs!$C$26*(((Inputs!$D$7*(1+Inputs!$C$21))*Inputs!$D$8)+Inputs!$D$16)))*Inputs!$C$24-(Inputs!$C$29*(((Inputs!$D$7*(1+Inputs!$C$21))*Inputs!$D$8)-Inputs!$D$14))/Inputs!$C$30-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$27/Inputs!$C$28)*(1-Inputs!$C$32))/(Inputs!$C$8+(((Inputs!$D$7*(1+Inputs!$C$21))*Inputs!$D$8)*G$13/Inputs!$C$7))/(Inputs!$C$9*(1+Inputs!$C$33)^1)-1</f>
        <v>-0.0154607022717373</v>
      </c>
    </row>
    <row r="17" customFormat="false" ht="15" hidden="false" customHeight="false" outlineLevel="0" collapsed="false">
      <c r="B17" s="21" t="n">
        <v>750</v>
      </c>
      <c r="C17" s="20" t="n">
        <f aca="false">((Inputs!$C$9*(1+Inputs!$C$33)^1)*Inputs!$C$8+Inputs!$D$9*(1+Inputs!$C$34)^1*Inputs!$D$8+($B$17*Inputs!$D$35-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$23-MIN(MAX(Inputs!$C$11-Inputs!$C$25,0),(((Inputs!$D$7*(1+Inputs!$C$21))*Inputs!$D$8)*(1-C$13))+(Inputs!$C$26*(((Inputs!$D$7*(1+Inputs!$C$21))*Inputs!$D$8)+Inputs!$D$16)))*Inputs!$C$24-(Inputs!$C$29*(((Inputs!$D$7*(1+Inputs!$C$21))*Inputs!$D$8)-Inputs!$D$14))/Inputs!$C$30-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$27/Inputs!$C$28)*(1-Inputs!$C$32))/(Inputs!$C$8+(((Inputs!$D$7*(1+Inputs!$C$21))*Inputs!$D$8)*C$13/Inputs!$C$7))/(Inputs!$C$9*(1+Inputs!$C$33)^1)-1</f>
        <v>0.0407495534316185</v>
      </c>
      <c r="D17" s="20" t="n">
        <f aca="false">((Inputs!$C$9*(1+Inputs!$C$33)^1)*Inputs!$C$8+Inputs!$D$9*(1+Inputs!$C$34)^1*Inputs!$D$8+($B$17*Inputs!$D$35-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$23-MIN(MAX(Inputs!$C$11-Inputs!$C$25,0),(((Inputs!$D$7*(1+Inputs!$C$21))*Inputs!$D$8)*(1-D$13))+(Inputs!$C$26*(((Inputs!$D$7*(1+Inputs!$C$21))*Inputs!$D$8)+Inputs!$D$16)))*Inputs!$C$24-(Inputs!$C$29*(((Inputs!$D$7*(1+Inputs!$C$21))*Inputs!$D$8)-Inputs!$D$14))/Inputs!$C$30-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$27/Inputs!$C$28)*(1-Inputs!$C$32))/(Inputs!$C$8+(((Inputs!$D$7*(1+Inputs!$C$21))*Inputs!$D$8)*D$13/Inputs!$C$7))/(Inputs!$C$9*(1+Inputs!$C$33)^1)-1</f>
        <v>0.0321678492066655</v>
      </c>
      <c r="E17" s="20" t="n">
        <f aca="false">((Inputs!$C$9*(1+Inputs!$C$33)^1)*Inputs!$C$8+Inputs!$D$9*(1+Inputs!$C$34)^1*Inputs!$D$8+($B$17*Inputs!$D$35-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$23-MIN(MAX(Inputs!$C$11-Inputs!$C$25,0),(((Inputs!$D$7*(1+Inputs!$C$21))*Inputs!$D$8)*(1-E$13))+(Inputs!$C$26*(((Inputs!$D$7*(1+Inputs!$C$21))*Inputs!$D$8)+Inputs!$D$16)))*Inputs!$C$24-(Inputs!$C$29*(((Inputs!$D$7*(1+Inputs!$C$21))*Inputs!$D$8)-Inputs!$D$14))/Inputs!$C$30-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$27/Inputs!$C$28)*(1-Inputs!$C$32))/(Inputs!$C$8+(((Inputs!$D$7*(1+Inputs!$C$21))*Inputs!$D$8)*E$13/Inputs!$C$7))/(Inputs!$C$9*(1+Inputs!$C$33)^1)-1</f>
        <v>0.0244160441150501</v>
      </c>
      <c r="F17" s="20" t="n">
        <f aca="false">((Inputs!$C$9*(1+Inputs!$C$33)^1)*Inputs!$C$8+Inputs!$D$9*(1+Inputs!$C$34)^1*Inputs!$D$8+($B$17*Inputs!$D$35-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$23-MIN(MAX(Inputs!$C$11-Inputs!$C$25,0),(((Inputs!$D$7*(1+Inputs!$C$21))*Inputs!$D$8)*(1-F$13))+(Inputs!$C$26*(((Inputs!$D$7*(1+Inputs!$C$21))*Inputs!$D$8)+Inputs!$D$16)))*Inputs!$C$24-(Inputs!$C$29*(((Inputs!$D$7*(1+Inputs!$C$21))*Inputs!$D$8)-Inputs!$D$14))/Inputs!$C$30-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$27/Inputs!$C$28)*(1-Inputs!$C$32))/(Inputs!$C$8+(((Inputs!$D$7*(1+Inputs!$C$21))*Inputs!$D$8)*F$13/Inputs!$C$7))/(Inputs!$C$9*(1+Inputs!$C$33)^1)-1</f>
        <v>0.0173793067004109</v>
      </c>
      <c r="G17" s="20" t="n">
        <f aca="false">((Inputs!$C$9*(1+Inputs!$C$33)^1)*Inputs!$C$8+Inputs!$D$9*(1+Inputs!$C$34)^1*Inputs!$D$8+($B$17*Inputs!$D$35-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$23-MIN(MAX(Inputs!$C$11-Inputs!$C$25,0),(((Inputs!$D$7*(1+Inputs!$C$21))*Inputs!$D$8)*(1-G$13))+(Inputs!$C$26*(((Inputs!$D$7*(1+Inputs!$C$21))*Inputs!$D$8)+Inputs!$D$16)))*Inputs!$C$24-(Inputs!$C$29*(((Inputs!$D$7*(1+Inputs!$C$21))*Inputs!$D$8)-Inputs!$D$14))/Inputs!$C$30-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$27/Inputs!$C$28)*(1-Inputs!$C$32))/(Inputs!$C$8+(((Inputs!$D$7*(1+Inputs!$C$21))*Inputs!$D$8)*G$13/Inputs!$C$7))/(Inputs!$C$9*(1+Inputs!$C$33)^1)-1</f>
        <v>0.00649171816289718</v>
      </c>
    </row>
    <row r="18" customFormat="false" ht="15" hidden="false" customHeight="false" outlineLevel="0" collapsed="false">
      <c r="B18" s="21" t="n">
        <v>1000</v>
      </c>
      <c r="C18" s="20" t="n">
        <f aca="false">((Inputs!$C$9*(1+Inputs!$C$33)^1)*Inputs!$C$8+Inputs!$D$9*(1+Inputs!$C$34)^1*Inputs!$D$8+($B$18*Inputs!$D$35-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$23-MIN(MAX(Inputs!$C$11-Inputs!$C$25,0),(((Inputs!$D$7*(1+Inputs!$C$21))*Inputs!$D$8)*(1-C$13))+(Inputs!$C$26*(((Inputs!$D$7*(1+Inputs!$C$21))*Inputs!$D$8)+Inputs!$D$16)))*Inputs!$C$24-(Inputs!$C$29*(((Inputs!$D$7*(1+Inputs!$C$21))*Inputs!$D$8)-Inputs!$D$14))/Inputs!$C$30-(((((Inputs!$D$7*(1+Inputs!$C$21))*Inputs!$D$8)*(1-C$13))+(Inputs!$C$26*(((Inputs!$D$7*(1+Inputs!$C$21))*Inputs!$D$8)+Inputs!$D$16))-MIN(MAX(Inputs!$C$11-Inputs!$C$25,0),(((Inputs!$D$7*(1+Inputs!$C$21))*Inputs!$D$8)*(1-C$13))+(Inputs!$C$26*(((Inputs!$D$7*(1+Inputs!$C$21))*Inputs!$D$8)+Inputs!$D$16))))/(1-Inputs!$C$27))*Inputs!$C$27/Inputs!$C$28)*(1-Inputs!$C$32))/(Inputs!$C$8+(((Inputs!$D$7*(1+Inputs!$C$21))*Inputs!$D$8)*C$13/Inputs!$C$7))/(Inputs!$C$9*(1+Inputs!$C$33)^1)-1</f>
        <v>0.067402374476963</v>
      </c>
      <c r="D18" s="20" t="n">
        <f aca="false">((Inputs!$C$9*(1+Inputs!$C$33)^1)*Inputs!$C$8+Inputs!$D$9*(1+Inputs!$C$34)^1*Inputs!$D$8+($B$18*Inputs!$D$35-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$23-MIN(MAX(Inputs!$C$11-Inputs!$C$25,0),(((Inputs!$D$7*(1+Inputs!$C$21))*Inputs!$D$8)*(1-D$13))+(Inputs!$C$26*(((Inputs!$D$7*(1+Inputs!$C$21))*Inputs!$D$8)+Inputs!$D$16)))*Inputs!$C$24-(Inputs!$C$29*(((Inputs!$D$7*(1+Inputs!$C$21))*Inputs!$D$8)-Inputs!$D$14))/Inputs!$C$30-(((((Inputs!$D$7*(1+Inputs!$C$21))*Inputs!$D$8)*(1-D$13))+(Inputs!$C$26*(((Inputs!$D$7*(1+Inputs!$C$21))*Inputs!$D$8)+Inputs!$D$16))-MIN(MAX(Inputs!$C$11-Inputs!$C$25,0),(((Inputs!$D$7*(1+Inputs!$C$21))*Inputs!$D$8)*(1-D$13))+(Inputs!$C$26*(((Inputs!$D$7*(1+Inputs!$C$21))*Inputs!$D$8)+Inputs!$D$16))))/(1-Inputs!$C$27))*Inputs!$C$27/Inputs!$C$28)*(1-Inputs!$C$32))/(Inputs!$C$8+(((Inputs!$D$7*(1+Inputs!$C$21))*Inputs!$D$8)*D$13/Inputs!$C$7))/(Inputs!$C$9*(1+Inputs!$C$33)^1)-1</f>
        <v>0.0574664509805825</v>
      </c>
      <c r="E18" s="20" t="n">
        <f aca="false">((Inputs!$C$9*(1+Inputs!$C$33)^1)*Inputs!$C$8+Inputs!$D$9*(1+Inputs!$C$34)^1*Inputs!$D$8+($B$18*Inputs!$D$35-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$23-MIN(MAX(Inputs!$C$11-Inputs!$C$25,0),(((Inputs!$D$7*(1+Inputs!$C$21))*Inputs!$D$8)*(1-E$13))+(Inputs!$C$26*(((Inputs!$D$7*(1+Inputs!$C$21))*Inputs!$D$8)+Inputs!$D$16)))*Inputs!$C$24-(Inputs!$C$29*(((Inputs!$D$7*(1+Inputs!$C$21))*Inputs!$D$8)-Inputs!$D$14))/Inputs!$C$30-(((((Inputs!$D$7*(1+Inputs!$C$21))*Inputs!$D$8)*(1-E$13))+(Inputs!$C$26*(((Inputs!$D$7*(1+Inputs!$C$21))*Inputs!$D$8)+Inputs!$D$16))-MIN(MAX(Inputs!$C$11-Inputs!$C$25,0),(((Inputs!$D$7*(1+Inputs!$C$21))*Inputs!$D$8)*(1-E$13))+(Inputs!$C$26*(((Inputs!$D$7*(1+Inputs!$C$21))*Inputs!$D$8)+Inputs!$D$16))))/(1-Inputs!$C$27))*Inputs!$C$27/Inputs!$C$28)*(1-Inputs!$C$32))/(Inputs!$C$8+(((Inputs!$D$7*(1+Inputs!$C$21))*Inputs!$D$8)*E$13/Inputs!$C$7))/(Inputs!$C$9*(1+Inputs!$C$33)^1)-1</f>
        <v>0.0484913872484642</v>
      </c>
      <c r="F18" s="20" t="n">
        <f aca="false">((Inputs!$C$9*(1+Inputs!$C$33)^1)*Inputs!$C$8+Inputs!$D$9*(1+Inputs!$C$34)^1*Inputs!$D$8+($B$18*Inputs!$D$35-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$23-MIN(MAX(Inputs!$C$11-Inputs!$C$25,0),(((Inputs!$D$7*(1+Inputs!$C$21))*Inputs!$D$8)*(1-F$13))+(Inputs!$C$26*(((Inputs!$D$7*(1+Inputs!$C$21))*Inputs!$D$8)+Inputs!$D$16)))*Inputs!$C$24-(Inputs!$C$29*(((Inputs!$D$7*(1+Inputs!$C$21))*Inputs!$D$8)-Inputs!$D$14))/Inputs!$C$30-(((((Inputs!$D$7*(1+Inputs!$C$21))*Inputs!$D$8)*(1-F$13))+(Inputs!$C$26*(((Inputs!$D$7*(1+Inputs!$C$21))*Inputs!$D$8)+Inputs!$D$16))-MIN(MAX(Inputs!$C$11-Inputs!$C$25,0),(((Inputs!$D$7*(1+Inputs!$C$21))*Inputs!$D$8)*(1-F$13))+(Inputs!$C$26*(((Inputs!$D$7*(1+Inputs!$C$21))*Inputs!$D$8)+Inputs!$D$16))))/(1-Inputs!$C$27))*Inputs!$C$27/Inputs!$C$28)*(1-Inputs!$C$32))/(Inputs!$C$8+(((Inputs!$D$7*(1+Inputs!$C$21))*Inputs!$D$8)*F$13/Inputs!$C$7))/(Inputs!$C$9*(1+Inputs!$C$33)^1)-1</f>
        <v>0.040344231067915</v>
      </c>
      <c r="G18" s="20" t="n">
        <f aca="false">((Inputs!$C$9*(1+Inputs!$C$33)^1)*Inputs!$C$8+Inputs!$D$9*(1+Inputs!$C$34)^1*Inputs!$D$8+($B$18*Inputs!$D$35-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$23-MIN(MAX(Inputs!$C$11-Inputs!$C$25,0),(((Inputs!$D$7*(1+Inputs!$C$21))*Inputs!$D$8)*(1-G$13))+(Inputs!$C$26*(((Inputs!$D$7*(1+Inputs!$C$21))*Inputs!$D$8)+Inputs!$D$16)))*Inputs!$C$24-(Inputs!$C$29*(((Inputs!$D$7*(1+Inputs!$C$21))*Inputs!$D$8)-Inputs!$D$14))/Inputs!$C$30-(((((Inputs!$D$7*(1+Inputs!$C$21))*Inputs!$D$8)*(1-G$13))+(Inputs!$C$26*(((Inputs!$D$7*(1+Inputs!$C$21))*Inputs!$D$8)+Inputs!$D$16))-MIN(MAX(Inputs!$C$11-Inputs!$C$25,0),(((Inputs!$D$7*(1+Inputs!$C$21))*Inputs!$D$8)*(1-G$13))+(Inputs!$C$26*(((Inputs!$D$7*(1+Inputs!$C$21))*Inputs!$D$8)+Inputs!$D$16))))/(1-Inputs!$C$27))*Inputs!$C$27/Inputs!$C$28)*(1-Inputs!$C$32))/(Inputs!$C$8+(((Inputs!$D$7*(1+Inputs!$C$21))*Inputs!$D$8)*G$13/Inputs!$C$7))/(Inputs!$C$9*(1+Inputs!$C$33)^1)-1</f>
        <v>0.0284441385975316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6.71"/>
    <col collapsed="false" customWidth="true" hidden="false" outlineLevel="0" max="5" min="3" style="0" width="14.71"/>
  </cols>
  <sheetData>
    <row r="2" customFormat="false" ht="17.35" hidden="false" customHeight="false" outlineLevel="0" collapsed="false">
      <c r="B2" s="1" t="s">
        <v>95</v>
      </c>
    </row>
    <row r="4" customFormat="false" ht="15" hidden="false" customHeight="false" outlineLevel="0" collapsed="false">
      <c r="B4" s="3" t="s">
        <v>96</v>
      </c>
      <c r="C4" s="3" t="s">
        <v>3</v>
      </c>
      <c r="D4" s="3" t="s">
        <v>4</v>
      </c>
      <c r="E4" s="3" t="s">
        <v>97</v>
      </c>
    </row>
    <row r="5" customFormat="false" ht="15" hidden="false" customHeight="false" outlineLevel="0" collapsed="false">
      <c r="B5" s="0" t="s">
        <v>14</v>
      </c>
      <c r="C5" s="16" t="n">
        <f aca="false">Inputs!$C$13</f>
        <v>52000</v>
      </c>
      <c r="D5" s="16" t="n">
        <f aca="false">Inputs!$D$13</f>
        <v>12000</v>
      </c>
      <c r="E5" s="22" t="n">
        <f aca="false">D5/(C5+D5)</f>
        <v>0.1875</v>
      </c>
    </row>
    <row r="6" customFormat="false" ht="15" hidden="false" customHeight="false" outlineLevel="0" collapsed="false">
      <c r="B6" s="0" t="s">
        <v>13</v>
      </c>
      <c r="C6" s="16" t="n">
        <f aca="false">Inputs!$C$12</f>
        <v>9800</v>
      </c>
      <c r="D6" s="16" t="n">
        <f aca="false">Inputs!$D$12</f>
        <v>2050</v>
      </c>
      <c r="E6" s="22" t="n">
        <f aca="false">D6/(C6+D6)</f>
        <v>0.172995780590717</v>
      </c>
    </row>
    <row r="7" customFormat="false" ht="15" hidden="false" customHeight="false" outlineLevel="0" collapsed="false">
      <c r="B7" s="0" t="s">
        <v>19</v>
      </c>
      <c r="C7" s="16" t="n">
        <f aca="false">Inputs!$C$18</f>
        <v>5400</v>
      </c>
      <c r="D7" s="16" t="n">
        <f aca="false">Inputs!$D$18</f>
        <v>960</v>
      </c>
      <c r="E7" s="22" t="n">
        <f aca="false">D7/(C7+D7)</f>
        <v>0.150943396226415</v>
      </c>
    </row>
    <row r="8" customFormat="false" ht="15" hidden="false" customHeight="false" outlineLevel="0" collapsed="false">
      <c r="B8" s="0" t="s">
        <v>98</v>
      </c>
      <c r="C8" s="16" t="n">
        <f aca="false">Inputs!$C$8</f>
        <v>1200</v>
      </c>
      <c r="D8" s="16" t="n">
        <f aca="false">Transaction!$C$17</f>
        <v>128.470588235294</v>
      </c>
      <c r="E8" s="22" t="n">
        <f aca="false">D8/(C8+D8)</f>
        <v>0.0967056323060574</v>
      </c>
    </row>
    <row r="10" customFormat="false" ht="15" hidden="false" customHeight="false" outlineLevel="0" collapsed="false">
      <c r="B10" s="3" t="s">
        <v>99</v>
      </c>
      <c r="C10" s="3"/>
    </row>
    <row r="11" customFormat="false" ht="15" hidden="false" customHeight="false" outlineLevel="0" collapsed="false">
      <c r="B11" s="0" t="s">
        <v>100</v>
      </c>
      <c r="C11" s="7" t="n">
        <f aca="false">Inputs!$C$16</f>
        <v>18000</v>
      </c>
    </row>
    <row r="12" customFormat="false" ht="15" hidden="false" customHeight="false" outlineLevel="0" collapsed="false">
      <c r="B12" s="0" t="s">
        <v>101</v>
      </c>
      <c r="C12" s="7" t="n">
        <f aca="false">Inputs!$D$16</f>
        <v>4200</v>
      </c>
    </row>
    <row r="13" customFormat="false" ht="15" hidden="false" customHeight="false" outlineLevel="0" collapsed="false">
      <c r="B13" s="0" t="s">
        <v>43</v>
      </c>
      <c r="C13" s="7" t="n">
        <f aca="false">Transaction!$C$15</f>
        <v>9420.89795918367</v>
      </c>
    </row>
    <row r="14" customFormat="false" ht="15" hidden="false" customHeight="false" outlineLevel="0" collapsed="false">
      <c r="B14" s="0" t="s">
        <v>56</v>
      </c>
      <c r="C14" s="7" t="n">
        <f aca="false">Transaction!$C$14</f>
        <v>2000</v>
      </c>
    </row>
    <row r="15" customFormat="false" ht="15" hidden="false" customHeight="false" outlineLevel="0" collapsed="false">
      <c r="B15" s="0" t="s">
        <v>102</v>
      </c>
      <c r="C15" s="7" t="n">
        <f aca="false">SUM(C11:C14)</f>
        <v>33620.8979591837</v>
      </c>
    </row>
    <row r="16" customFormat="false" ht="15" hidden="false" customHeight="false" outlineLevel="0" collapsed="false">
      <c r="B16" s="0" t="s">
        <v>103</v>
      </c>
      <c r="C16" s="7" t="n">
        <f aca="false">Inputs!$C$12+Inputs!$D$12</f>
        <v>11850</v>
      </c>
    </row>
    <row r="17" customFormat="false" ht="15" hidden="false" customHeight="false" outlineLevel="0" collapsed="false">
      <c r="B17" s="0" t="s">
        <v>104</v>
      </c>
      <c r="C17" s="8" t="n">
        <f aca="false">C15/C16</f>
        <v>2.83720657883407</v>
      </c>
    </row>
    <row r="18" customFormat="false" ht="15" hidden="false" customHeight="false" outlineLevel="0" collapsed="false">
      <c r="B18" s="0" t="s">
        <v>105</v>
      </c>
      <c r="C18" s="8" t="n">
        <f aca="false">C15/(C16+Inputs!$C$31)</f>
        <v>2.72233991572337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2026-09-19T15:01:00Z</dcterms:created>
  <dc:creator>Alessandro Radice</dc:creator>
  <dc:description>Generated by the Accretion / Dilution Merger Model</dc:description>
  <cp:keywords>M&amp;A, merger model, accretion dilution, investment banking</cp:keywords>
  <dc:language>en-US</dc:language>
  <cp:lastModifiedBy>Alessandro Radice</cp:lastModifiedBy>
  <dcterms:modified xsi:type="dcterms:W3CDTF">2026-09-19T15:01:00Z</dcterms:modified>
  <cp:revision>0</cp:revision>
  <dc:subject>Accretion / dilution analysis</dc:subject>
  <dc:title>Project Cocoa: Acquirer Co. (synthetic) / Target Co. (synthetic) merger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